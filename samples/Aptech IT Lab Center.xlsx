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sof\"/>
    </mc:Choice>
  </mc:AlternateContent>
  <xr:revisionPtr revIDLastSave="0" documentId="13_ncr:1_{052F7BBF-CBA2-4A22-AF1C-3A588F3F87B0}" xr6:coauthVersionLast="47" xr6:coauthVersionMax="47" xr10:uidLastSave="{00000000-0000-0000-0000-000000000000}"/>
  <bookViews>
    <workbookView xWindow="-120" yWindow="-120" windowWidth="29040" windowHeight="15840" tabRatio="500" firstSheet="2" activeTab="3" xr2:uid="{00000000-000D-0000-FFFF-FFFF00000000}"/>
  </bookViews>
  <sheets>
    <sheet name="Dashboard &amp; Summary" sheetId="1" r:id="rId1"/>
    <sheet name="Lab 1, 2, 3 Inventory" sheetId="2" r:id="rId2"/>
    <sheet name="Staff Configuration" sheetId="3" r:id="rId3"/>
    <sheet name="Monthly Fault Sheet" sheetId="4" r:id="rId4"/>
    <sheet name="New Purchases" sheetId="5" r:id="rId5"/>
  </sheets>
  <definedNames>
    <definedName name="_xlnm._FilterDatabase" localSheetId="0" hidden="1">'Dashboard &amp; Summary'!$A$4:$D$13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U6" i="2" l="1"/>
  <c r="U7" i="2"/>
  <c r="U8" i="2"/>
  <c r="U9" i="2"/>
  <c r="U10" i="2"/>
  <c r="U11" i="2"/>
  <c r="U12" i="2"/>
  <c r="U13" i="2"/>
  <c r="U14" i="2"/>
  <c r="U15" i="2"/>
  <c r="U16" i="2"/>
  <c r="U17" i="2"/>
  <c r="U18" i="2"/>
  <c r="U5" i="2"/>
  <c r="B12" i="1"/>
  <c r="A19" i="5"/>
  <c r="F5" i="1"/>
  <c r="H5" i="1"/>
  <c r="I5" i="1"/>
  <c r="J5" i="1"/>
  <c r="K5" i="1"/>
  <c r="L5" i="1"/>
  <c r="M5" i="1"/>
  <c r="N5" i="1"/>
  <c r="O5" i="1"/>
  <c r="P5" i="1"/>
  <c r="Q5" i="1"/>
  <c r="A8" i="4"/>
  <c r="A6" i="4"/>
  <c r="A7" i="4"/>
  <c r="A9" i="4"/>
  <c r="A10" i="4"/>
  <c r="A11" i="4"/>
  <c r="A12" i="4"/>
  <c r="A13" i="4"/>
  <c r="A14" i="4"/>
  <c r="A15" i="4"/>
  <c r="A16" i="4"/>
  <c r="A17" i="4"/>
  <c r="A18" i="4"/>
  <c r="A5" i="4"/>
  <c r="D9" i="1"/>
  <c r="F7" i="2"/>
  <c r="A59" i="4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6" i="2"/>
  <c r="A7" i="2"/>
  <c r="A8" i="2"/>
  <c r="B14" i="1"/>
  <c r="D14" i="1"/>
  <c r="A23" i="5"/>
  <c r="A24" i="3"/>
  <c r="A36" i="2"/>
  <c r="D11" i="1"/>
  <c r="B11" i="1"/>
  <c r="A18" i="5" l="1"/>
  <c r="A17" i="5"/>
  <c r="A16" i="5"/>
  <c r="A15" i="5"/>
  <c r="A14" i="5"/>
  <c r="A13" i="5"/>
  <c r="A12" i="5"/>
  <c r="A11" i="5"/>
  <c r="A10" i="5"/>
  <c r="A9" i="5"/>
  <c r="A8" i="5"/>
  <c r="A7" i="5"/>
  <c r="A6" i="5"/>
  <c r="A16" i="3"/>
  <c r="A15" i="3"/>
  <c r="A14" i="3"/>
  <c r="A13" i="3"/>
  <c r="A12" i="3"/>
  <c r="A11" i="3"/>
  <c r="A10" i="3"/>
  <c r="A9" i="3"/>
  <c r="A8" i="3"/>
  <c r="A7" i="3"/>
  <c r="A6" i="3"/>
  <c r="A5" i="3"/>
  <c r="A30" i="2"/>
  <c r="A29" i="2"/>
  <c r="A28" i="2"/>
  <c r="A27" i="2"/>
  <c r="A26" i="2"/>
  <c r="A25" i="2"/>
  <c r="K15" i="2"/>
  <c r="K14" i="2"/>
  <c r="K13" i="2"/>
  <c r="K12" i="2"/>
  <c r="K11" i="2"/>
  <c r="K10" i="2"/>
  <c r="K9" i="2"/>
  <c r="K8" i="2"/>
  <c r="K7" i="2"/>
  <c r="K6" i="2"/>
  <c r="K5" i="2"/>
  <c r="D13" i="1"/>
  <c r="D12" i="1"/>
  <c r="B9" i="1"/>
  <c r="D8" i="1"/>
  <c r="B8" i="1"/>
  <c r="D7" i="1"/>
  <c r="B7" i="1"/>
  <c r="D6" i="1"/>
  <c r="B6" i="1"/>
  <c r="B5" i="1"/>
  <c r="B10" i="1" l="1"/>
  <c r="B13" i="1"/>
</calcChain>
</file>

<file path=xl/sharedStrings.xml><?xml version="1.0" encoding="utf-8"?>
<sst xmlns="http://schemas.openxmlformats.org/spreadsheetml/2006/main" count="950" uniqueCount="288">
  <si>
    <t>APTECH IT LABS - EXECUTIVE SUMMARY &amp; DASHBOARD</t>
  </si>
  <si>
    <t>Key Metric Overview</t>
  </si>
  <si>
    <t>STORE ROOM</t>
  </si>
  <si>
    <t>Category / Lab</t>
  </si>
  <si>
    <t>Total Computers / Items</t>
  </si>
  <si>
    <t>Status / Notes</t>
  </si>
  <si>
    <t>Click</t>
  </si>
  <si>
    <t>🖥️ Total PCs</t>
  </si>
  <si>
    <t>🖥️ LCD</t>
  </si>
  <si>
    <t>⌨️ Keyboards</t>
  </si>
  <si>
    <t>🖱️ Mouse</t>
  </si>
  <si>
    <t>🌐 Ethernet</t>
  </si>
  <si>
    <t>🔌 Power Cables</t>
  </si>
  <si>
    <t>📺 VGA Cables</t>
  </si>
  <si>
    <t>⚠️ Hold Items</t>
  </si>
  <si>
    <t>❌ Faulty</t>
  </si>
  <si>
    <t>💾 RAM</t>
  </si>
  <si>
    <t>💿 HDD &amp; 💾 SSD</t>
  </si>
  <si>
    <t>Total Labs Managed</t>
  </si>
  <si>
    <t>Lab-1, Lab-2, Lab3 , Staff Room</t>
  </si>
  <si>
    <t>Lab-1 PCs (Inventory)</t>
  </si>
  <si>
    <t>Fully Configured &amp; Installed</t>
  </si>
  <si>
    <t>Lab-2 PCs (Inventory)</t>
  </si>
  <si>
    <t>Lab-3 PCs (Inventory)</t>
  </si>
  <si>
    <t>Staff  PCs</t>
  </si>
  <si>
    <t>Counselor &amp; Staff Rooms</t>
  </si>
  <si>
    <t>Total System Inventory</t>
  </si>
  <si>
    <t>All Active Systems</t>
  </si>
  <si>
    <t>Tracked &amp; Resolved/Pending</t>
  </si>
  <si>
    <t>New Computer Purchases</t>
  </si>
  <si>
    <t>New PC Batch with Accessories</t>
  </si>
  <si>
    <t>Store Room</t>
  </si>
  <si>
    <t>Available</t>
  </si>
  <si>
    <t>APTECH IT LABS - LAB 1 &amp; LAB 2 &amp; LAB 3 COMPUTER INVENTORY</t>
  </si>
  <si>
    <t xml:space="preserve">LAB-1 COMPUTER INVENTORY </t>
  </si>
  <si>
    <t xml:space="preserve">LAB-2 COMPUTER INVENTORY </t>
  </si>
  <si>
    <t xml:space="preserve">LAB-3 COMPUTER INVENTORY </t>
  </si>
  <si>
    <t>S.No</t>
  </si>
  <si>
    <t>PC Name</t>
  </si>
  <si>
    <t>Password</t>
  </si>
  <si>
    <t>Processor</t>
  </si>
  <si>
    <t>RAM</t>
  </si>
  <si>
    <t>Storage</t>
  </si>
  <si>
    <t>Operating System</t>
  </si>
  <si>
    <t>Software / Remarks</t>
  </si>
  <si>
    <t>Status</t>
  </si>
  <si>
    <t>Teacher PC</t>
  </si>
  <si>
    <t>DHA</t>
  </si>
  <si>
    <t>i5 - 4th</t>
  </si>
  <si>
    <t>4 GB</t>
  </si>
  <si>
    <t>256 GB</t>
  </si>
  <si>
    <t>Windows 10 Pro</t>
  </si>
  <si>
    <t>VS Code, MS Office</t>
  </si>
  <si>
    <t>Working</t>
  </si>
  <si>
    <t>8 GB</t>
  </si>
  <si>
    <t>256 GB SSD</t>
  </si>
  <si>
    <t>Windows 11 Pro</t>
  </si>
  <si>
    <t>Lab1-STD P.C-1</t>
  </si>
  <si>
    <t>123</t>
  </si>
  <si>
    <t>320 GB</t>
  </si>
  <si>
    <t>XAMPP, Chrome</t>
  </si>
  <si>
    <t>Lab2-STD P.C-1</t>
  </si>
  <si>
    <t>128 GB SSD</t>
  </si>
  <si>
    <t>Lab3-STD P.C-1</t>
  </si>
  <si>
    <t xml:space="preserve">Windows 10 Pro </t>
  </si>
  <si>
    <t>Lab1-STD P.C-2</t>
  </si>
  <si>
    <t>Pending Setup</t>
  </si>
  <si>
    <t>Pending</t>
  </si>
  <si>
    <t>Lab2-STD P.C-2</t>
  </si>
  <si>
    <t>Visual Studio, SSMS</t>
  </si>
  <si>
    <t>Lab3-STD P.C-2</t>
  </si>
  <si>
    <t>Lab1-STD P.C-3</t>
  </si>
  <si>
    <t>Lab2-STD P.C-3</t>
  </si>
  <si>
    <t>WinRAR, Graphics Driver</t>
  </si>
  <si>
    <t>Lab3-STD P.C-3</t>
  </si>
  <si>
    <t>Lab1-STD P.C-4</t>
  </si>
  <si>
    <t>Lab2-STD P.C-4</t>
  </si>
  <si>
    <t>Android Studio, InSchool</t>
  </si>
  <si>
    <t>Lab1-STD P.C-5</t>
  </si>
  <si>
    <t>Lab2-STD P.C-5</t>
  </si>
  <si>
    <t>Standard</t>
  </si>
  <si>
    <t>Lab1-STD P.C-6</t>
  </si>
  <si>
    <t>Lab2-STD P.C-6</t>
  </si>
  <si>
    <t>Lab1-STD P.C-7</t>
  </si>
  <si>
    <t>i3 - 2nd</t>
  </si>
  <si>
    <t>Lab2-STD P.C-7</t>
  </si>
  <si>
    <t>Lab1-STD P.C-8</t>
  </si>
  <si>
    <t>Lab2-STD P.C-8</t>
  </si>
  <si>
    <t>Lab1-STD P.C-9</t>
  </si>
  <si>
    <t>Lab2-STD P.C-9</t>
  </si>
  <si>
    <t>Lab1-STD P.C-10</t>
  </si>
  <si>
    <t>Lab2-STD P.C-10</t>
  </si>
  <si>
    <t>Lab1-STD P.C-11</t>
  </si>
  <si>
    <t>Lab1-STD P.C-12</t>
  </si>
  <si>
    <t>Lab1-STD P.C-13</t>
  </si>
  <si>
    <t>Lab1-STD P.C-14</t>
  </si>
  <si>
    <t>Lab1-STD P.C-15</t>
  </si>
  <si>
    <t>Lab1-STD P.C-16</t>
  </si>
  <si>
    <t>Lab1-STD P.C-17</t>
  </si>
  <si>
    <t>Lab1-STD P.C-18</t>
  </si>
  <si>
    <t>APTECH IT LABS - STAFF ROOM SYSTEM CONFIGURATION</t>
  </si>
  <si>
    <t>STAFF &amp; COUNSELOR ROOM INVENTORY</t>
  </si>
  <si>
    <t>Software Installed</t>
  </si>
  <si>
    <t>Counselor Room</t>
  </si>
  <si>
    <t>Non</t>
  </si>
  <si>
    <t>Counselor P.C-1</t>
  </si>
  <si>
    <t>i5 4th</t>
  </si>
  <si>
    <t>Standard Suite</t>
  </si>
  <si>
    <t>Counselor P.C-2</t>
  </si>
  <si>
    <t>Staff Room P.C</t>
  </si>
  <si>
    <t>APTECH IT LABS - IT MAINTENANCE &amp; REPAIR LOG (AUGUST 2026)</t>
  </si>
  <si>
    <t>LOGGED FAULTS &amp; MAINTENANCE REPORT</t>
  </si>
  <si>
    <t>Complaint Date</t>
  </si>
  <si>
    <t>PC / Asset ID</t>
  </si>
  <si>
    <t>Lab</t>
  </si>
  <si>
    <t>Problem Description</t>
  </si>
  <si>
    <t>Old Part Removed</t>
  </si>
  <si>
    <t>New Part Installed</t>
  </si>
  <si>
    <t>Qty</t>
  </si>
  <si>
    <t>Repair Date</t>
  </si>
  <si>
    <t>Remarks</t>
  </si>
  <si>
    <t>Lab-1</t>
  </si>
  <si>
    <t>Resolved</t>
  </si>
  <si>
    <t>Working Fine</t>
  </si>
  <si>
    <t>20-Jul-2026</t>
  </si>
  <si>
    <t>APTECH IT LABS - NEW COMPUTER PURCHASING &amp; ACCESSORIES</t>
  </si>
  <si>
    <t>APTECH IT LABS - STORE AVAILABLE ITEMS</t>
  </si>
  <si>
    <t>NEW SYSTEM PURCHASE LIST</t>
  </si>
  <si>
    <t>Item Name</t>
  </si>
  <si>
    <t>Brand</t>
  </si>
  <si>
    <t>Condition</t>
  </si>
  <si>
    <t>Location</t>
  </si>
  <si>
    <t>Purchase Date</t>
  </si>
  <si>
    <t>Sr. No</t>
  </si>
  <si>
    <t>Device</t>
  </si>
  <si>
    <t>Keyboard</t>
  </si>
  <si>
    <t>Mouse</t>
  </si>
  <si>
    <t>Ethernet Connector</t>
  </si>
  <si>
    <t>Power Cables</t>
  </si>
  <si>
    <t>VGA Cables</t>
  </si>
  <si>
    <t>Dell LCD 19"</t>
  </si>
  <si>
    <t>Dell</t>
  </si>
  <si>
    <t>Good</t>
  </si>
  <si>
    <t>Store</t>
  </si>
  <si>
    <t>New</t>
  </si>
  <si>
    <t>PC-01</t>
  </si>
  <si>
    <t>Intel Core i5 4th Gen</t>
  </si>
  <si>
    <t>4 GB DDR3</t>
  </si>
  <si>
    <t>Yes</t>
  </si>
  <si>
    <t>Ethernet Cable</t>
  </si>
  <si>
    <t>D-Link</t>
  </si>
  <si>
    <t>CAT6</t>
  </si>
  <si>
    <t>PC-02</t>
  </si>
  <si>
    <t>USB</t>
  </si>
  <si>
    <t>PC-03</t>
  </si>
  <si>
    <t>No</t>
  </si>
  <si>
    <t>Logitech</t>
  </si>
  <si>
    <t>PC-04</t>
  </si>
  <si>
    <t>Power Cable</t>
  </si>
  <si>
    <t>Generic</t>
  </si>
  <si>
    <t>3-Pin</t>
  </si>
  <si>
    <t>PC-05</t>
  </si>
  <si>
    <t>VGA Cable</t>
  </si>
  <si>
    <t>PC-06</t>
  </si>
  <si>
    <t>HP Desktop</t>
  </si>
  <si>
    <t>HP</t>
  </si>
  <si>
    <t>Hold</t>
  </si>
  <si>
    <t>Spare PC</t>
  </si>
  <si>
    <t>One Box (20/7/26)</t>
  </si>
  <si>
    <t>4GB</t>
  </si>
  <si>
    <t>Ethernet Coannector</t>
  </si>
  <si>
    <t>128GB</t>
  </si>
  <si>
    <t>HardDiak</t>
  </si>
  <si>
    <t>320Gb</t>
  </si>
  <si>
    <t>Faulty</t>
  </si>
  <si>
    <t xml:space="preserve">cell </t>
  </si>
  <si>
    <t>Vga Cable</t>
  </si>
  <si>
    <t>old</t>
  </si>
  <si>
    <t>Chrome, WinRAR, MS Office 2021, Graphic Driver, Printer Drivers</t>
  </si>
  <si>
    <t>i3-2th</t>
  </si>
  <si>
    <t>256GB</t>
  </si>
  <si>
    <t>512GB</t>
  </si>
  <si>
    <t>160GB</t>
  </si>
  <si>
    <t>Keybordd</t>
  </si>
  <si>
    <t>20/7/2026</t>
  </si>
  <si>
    <t>PowerCables</t>
  </si>
  <si>
    <t>Vag Cables</t>
  </si>
  <si>
    <t>Ethernet connector damaged / No network connectivity</t>
  </si>
  <si>
    <t>Lab2</t>
  </si>
  <si>
    <t>Mouse Right click and Scroll no working</t>
  </si>
  <si>
    <t>New Mouse Add</t>
  </si>
  <si>
    <t>Window Installation and Software</t>
  </si>
  <si>
    <t>Windows &amp; Software</t>
  </si>
  <si>
    <t xml:space="preserve">New Installation </t>
  </si>
  <si>
    <t>Lab-2</t>
  </si>
  <si>
    <t>Microsoft Install and Software</t>
  </si>
  <si>
    <t xml:space="preserve">Software </t>
  </si>
  <si>
    <t>New Softwar</t>
  </si>
  <si>
    <t>Lab2-STD P.C-11</t>
  </si>
  <si>
    <t>Lab2-STD P.C-12</t>
  </si>
  <si>
    <t>August 2026 Faults Logged</t>
  </si>
  <si>
    <t>24/8/2026</t>
  </si>
  <si>
    <t>8 GB DDR3</t>
  </si>
  <si>
    <t>s</t>
  </si>
  <si>
    <t>LCD</t>
  </si>
  <si>
    <t>PC Repairing MotherBord and Power Button</t>
  </si>
  <si>
    <t>Motherboad/Power Button</t>
  </si>
  <si>
    <t>Repairing</t>
  </si>
  <si>
    <t xml:space="preserve">Software Installation New </t>
  </si>
  <si>
    <t>Software Currupt</t>
  </si>
  <si>
    <t>MotherBoard and PowerSupply</t>
  </si>
  <si>
    <t>PowerSupply Motherboard</t>
  </si>
  <si>
    <t>APTECH IT LABS - IT MAINTENANCE &amp; REPAIR LOG (September 2026)</t>
  </si>
  <si>
    <t>13-3th</t>
  </si>
  <si>
    <t>256GB SSD</t>
  </si>
  <si>
    <t>All SOFTWARE</t>
  </si>
  <si>
    <t>N/A</t>
  </si>
  <si>
    <t>Lab1-Teacher P.C</t>
  </si>
  <si>
    <t>1-Sep-26</t>
  </si>
  <si>
    <t>Keyboard not working</t>
  </si>
  <si>
    <t>New Keyboard</t>
  </si>
  <si>
    <t>2-Sep-26</t>
  </si>
  <si>
    <t>3-Sep-26</t>
  </si>
  <si>
    <t>New Windows and Software</t>
  </si>
  <si>
    <t>Corrupt Windows and Blue Screen</t>
  </si>
  <si>
    <t>Reinstall Windows</t>
  </si>
  <si>
    <t>5-Sep-26</t>
  </si>
  <si>
    <t>4-Sep-26</t>
  </si>
  <si>
    <t>New Ethernet Connector</t>
  </si>
  <si>
    <t>9-Sep-26</t>
  </si>
  <si>
    <t>Software and Drivers only</t>
  </si>
  <si>
    <t>Drivers Installed</t>
  </si>
  <si>
    <t>8-Sep-26</t>
  </si>
  <si>
    <t>Windows issue</t>
  </si>
  <si>
    <t>Windows</t>
  </si>
  <si>
    <t>Windows Reinstalled</t>
  </si>
  <si>
    <t>Mouse Right click not working</t>
  </si>
  <si>
    <t>New Mouse</t>
  </si>
  <si>
    <t>15-Sep-26</t>
  </si>
  <si>
    <t>10-Sep-26</t>
  </si>
  <si>
    <t>Mouse light not fully working</t>
  </si>
  <si>
    <t>11-Sep-26</t>
  </si>
  <si>
    <t>No Display</t>
  </si>
  <si>
    <t>Cable Replaced</t>
  </si>
  <si>
    <t>12-Sep-26</t>
  </si>
  <si>
    <t>Keyboard keys not working</t>
  </si>
  <si>
    <t>14-Sep-26</t>
  </si>
  <si>
    <t>Network connectivity issue</t>
  </si>
  <si>
    <t>LAN Cable</t>
  </si>
  <si>
    <t>New LAN Cable</t>
  </si>
  <si>
    <t>BIOS Cell and Windows</t>
  </si>
  <si>
    <t>BIOS Cell</t>
  </si>
  <si>
    <t>New BIOS Cell</t>
  </si>
  <si>
    <t>16-Sep-26</t>
  </si>
  <si>
    <t>System Slow</t>
  </si>
  <si>
    <t>Windows and Software</t>
  </si>
  <si>
    <t>Software Cleanup</t>
  </si>
  <si>
    <t>17-Sep-26</t>
  </si>
  <si>
    <t>No Internet</t>
  </si>
  <si>
    <t>LAN Connection</t>
  </si>
  <si>
    <t>Network Settings Fixed</t>
  </si>
  <si>
    <t>18-Sep-26</t>
  </si>
  <si>
    <t>CPU Fan Noise</t>
  </si>
  <si>
    <t>CPU Fan</t>
  </si>
  <si>
    <t>Fixed</t>
  </si>
  <si>
    <t>19-Sep-26</t>
  </si>
  <si>
    <t>USB Port not working</t>
  </si>
  <si>
    <t>USB Port</t>
  </si>
  <si>
    <t>Port Fix</t>
  </si>
  <si>
    <t>21-Sep-26</t>
  </si>
  <si>
    <t>Windows Activation Issue</t>
  </si>
  <si>
    <t>Windows Activated</t>
  </si>
  <si>
    <t>22-Sep-26</t>
  </si>
  <si>
    <t>Keyboard and Mouse issue</t>
  </si>
  <si>
    <t>23-Sep-26</t>
  </si>
  <si>
    <t>Software Installation</t>
  </si>
  <si>
    <t>Required Software</t>
  </si>
  <si>
    <t>24-Sep-26</t>
  </si>
  <si>
    <t>25-Sep-26</t>
  </si>
  <si>
    <t>Network Issue</t>
  </si>
  <si>
    <t>Network Fixed</t>
  </si>
  <si>
    <t>26-Sep-26</t>
  </si>
  <si>
    <t>System Restarting</t>
  </si>
  <si>
    <t>Power Cable Replaced</t>
  </si>
  <si>
    <t>28-Sep-26</t>
  </si>
  <si>
    <t>Windows and Driver Issue</t>
  </si>
  <si>
    <t>Windows / Drivers</t>
  </si>
  <si>
    <t>Reinstalled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</si>
</sst>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charset val="1"/>
    </font>
    <font>
      <b/>
      <sz val="16"/>
      <color rgb="FFFFFFFF"/>
      <name val="Calibri"/>
      <family val="2"/>
    </font>
    <font>
      <b/>
      <sz val="12"/>
      <color rgb="FFFFFFFF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6"/>
      <color theme="1"/>
      <name val="Calibri"/>
      <family val="2"/>
      <charset val="1"/>
    </font>
    <font>
      <b/>
      <sz val="11"/>
      <color rgb="FF7F4F00"/>
      <name val="Calibri"/>
      <family val="2"/>
    </font>
    <font>
      <sz val="11"/>
      <color rgb="FF006100"/>
      <name val="Calibri"/>
      <family val="2"/>
      <scheme val="minor"/>
    </font>
    <font>
      <b/>
      <sz val="11"/>
      <color rgb="FF000000"/>
      <name val="Candara"/>
      <family val="2"/>
    </font>
    <font>
      <b/>
      <sz val="11"/>
      <color theme="1"/>
      <name val="Candara"/>
      <family val="2"/>
    </font>
    <font>
      <b/>
      <sz val="11"/>
      <color rgb="FF000000"/>
      <name val="Cascadia Code"/>
      <family val="3"/>
    </font>
    <font>
      <sz val="18"/>
      <color theme="1"/>
      <name val="Calibri"/>
      <family val="2"/>
      <charset val="1"/>
    </font>
    <font>
      <b/>
      <sz val="11"/>
      <color theme="1"/>
      <name val="Calibri"/>
      <family val="2"/>
    </font>
    <font>
      <sz val="8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2F5597"/>
      </patternFill>
    </fill>
    <fill>
      <patternFill patternType="solid">
        <fgColor rgb="FF2F5597"/>
        <bgColor rgb="FF1F4E78"/>
      </patternFill>
    </fill>
    <fill>
      <patternFill patternType="solid">
        <fgColor rgb="FFFFFFFF"/>
        <bgColor rgb="FFF2F5F9"/>
      </patternFill>
    </fill>
    <fill>
      <patternFill patternType="solid">
        <fgColor rgb="FFF2F5F9"/>
        <bgColor rgb="FFFFFFFF"/>
      </patternFill>
    </fill>
    <fill>
      <patternFill patternType="solid">
        <fgColor rgb="FFFFE199"/>
        <bgColor rgb="FFFFFF99"/>
      </patternFill>
    </fill>
    <fill>
      <patternFill patternType="solid">
        <fgColor rgb="FFC6EFCE"/>
      </patternFill>
    </fill>
  </fills>
  <borders count="9">
    <border>
      <left/>
      <right/>
      <top/>
      <bottom/>
      <diagonal/>
    </border>
    <border>
      <left style="medium">
        <color rgb="FF808080"/>
      </left>
      <right style="thin">
        <color auto="1"/>
      </right>
      <top style="medium">
        <color rgb="FF808080"/>
      </top>
      <bottom style="thin">
        <color rgb="FF80808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808080"/>
      </left>
      <right style="thin">
        <color auto="1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medium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7" fillId="7" borderId="0" applyNumberFormat="0" applyBorder="0" applyAlignment="0" applyProtection="0"/>
  </cellStyleXfs>
  <cellXfs count="32">
    <xf numFmtId="0" fontId="0" fillId="0" borderId="0" xfId="0"/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7" fillId="7" borderId="2" xfId="1" applyBorder="1" applyAlignment="1">
      <alignment horizontal="center" vertical="center"/>
    </xf>
    <xf numFmtId="15" fontId="6" fillId="6" borderId="2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5F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E199"/>
      <rgbColor rgb="FF3366FF"/>
      <rgbColor rgb="FF33CCCC"/>
      <rgbColor rgb="FF99CC00"/>
      <rgbColor rgb="FFFFCC00"/>
      <rgbColor rgb="FFFF9900"/>
      <rgbColor rgb="FFFF6600"/>
      <rgbColor rgb="FF2F5597"/>
      <rgbColor rgb="FF969696"/>
      <rgbColor rgb="FF003366"/>
      <rgbColor rgb="FF339966"/>
      <rgbColor rgb="FF003300"/>
      <rgbColor rgb="FF333300"/>
      <rgbColor rgb="FF7F4F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Q17"/>
  <sheetViews>
    <sheetView showGridLines="0" zoomScaleNormal="100" workbookViewId="0">
      <selection activeCell="D13" sqref="D13"/>
    </sheetView>
  </sheetViews>
  <sheetFormatPr defaultColWidth="9.140625" defaultRowHeight="15"/>
  <cols>
    <col min="1" max="1" width="27.5703125" style="4" customWidth="1"/>
    <col min="2" max="2" width="55.5703125" style="4" bestFit="1" customWidth="1"/>
    <col min="3" max="3" width="31.28515625" style="4" customWidth="1"/>
    <col min="4" max="4" width="9.85546875" style="4" customWidth="1"/>
    <col min="5" max="5" width="6.85546875" style="4" customWidth="1"/>
    <col min="6" max="6" width="12.5703125" style="4" customWidth="1"/>
    <col min="7" max="7" width="12" style="4" hidden="1" customWidth="1"/>
    <col min="8" max="8" width="7.85546875" style="4" customWidth="1"/>
    <col min="9" max="9" width="8.42578125" style="4" bestFit="1" customWidth="1"/>
    <col min="10" max="10" width="9.85546875" style="4" customWidth="1"/>
    <col min="11" max="11" width="12.140625" style="4" customWidth="1"/>
    <col min="12" max="12" width="16.42578125" style="4" customWidth="1"/>
    <col min="13" max="13" width="15" style="4" customWidth="1"/>
    <col min="14" max="14" width="14.28515625" style="4" customWidth="1"/>
    <col min="15" max="15" width="10" style="4" customWidth="1"/>
    <col min="16" max="16" width="8.7109375" style="4" customWidth="1"/>
    <col min="17" max="17" width="17.7109375" style="4" customWidth="1"/>
    <col min="18" max="16384" width="9.140625" style="4"/>
  </cols>
  <sheetData>
    <row r="1" spans="1:17" ht="18" customHeight="1">
      <c r="A1" s="21" t="s">
        <v>0</v>
      </c>
      <c r="B1" s="21"/>
      <c r="C1" s="21"/>
      <c r="D1" s="21"/>
    </row>
    <row r="2" spans="1:17" ht="15" customHeight="1">
      <c r="A2" s="22"/>
      <c r="B2" s="22"/>
      <c r="C2" s="22"/>
      <c r="D2" s="22"/>
    </row>
    <row r="3" spans="1:17" ht="18" customHeight="1">
      <c r="A3" s="23" t="s">
        <v>1</v>
      </c>
      <c r="B3" s="23"/>
      <c r="C3" s="23"/>
      <c r="D3" s="23"/>
      <c r="F3" s="24" t="s">
        <v>2</v>
      </c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</row>
    <row r="4" spans="1:17" ht="18" customHeight="1">
      <c r="A4" s="13" t="s">
        <v>3</v>
      </c>
      <c r="B4" s="13" t="s">
        <v>4</v>
      </c>
      <c r="C4" s="13" t="s">
        <v>5</v>
      </c>
      <c r="D4" s="13" t="s">
        <v>6</v>
      </c>
      <c r="F4" s="1" t="s">
        <v>7</v>
      </c>
      <c r="G4" s="1"/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  <c r="N4" s="1" t="s">
        <v>14</v>
      </c>
      <c r="O4" s="1" t="s">
        <v>15</v>
      </c>
      <c r="P4" s="1" t="s">
        <v>16</v>
      </c>
      <c r="Q4" s="2" t="s">
        <v>17</v>
      </c>
    </row>
    <row r="5" spans="1:17" ht="21" customHeight="1">
      <c r="A5" s="10" t="s">
        <v>18</v>
      </c>
      <c r="B5" s="11">
        <f>COUNTA('Lab 1, 2, 3 Inventory'!A3:I3,'Lab 1, 2, 3 Inventory'!K3:S3,'Lab 1, 2, 3 Inventory'!U3:AC3)</f>
        <v>3</v>
      </c>
      <c r="C5" s="10" t="s">
        <v>19</v>
      </c>
      <c r="D5" s="5"/>
      <c r="F5" s="6">
        <f>COUNTIF('New Purchases'!V4:V11,"&lt;&gt;")</f>
        <v>0</v>
      </c>
      <c r="G5" s="3"/>
      <c r="H5" s="6">
        <f>'New Purchases'!Y4</f>
        <v>0</v>
      </c>
      <c r="I5" s="6">
        <f>'New Purchases'!Y7</f>
        <v>2</v>
      </c>
      <c r="J5" s="6">
        <f>'New Purchases'!Y8</f>
        <v>0</v>
      </c>
      <c r="K5" s="6">
        <f>'New Purchases'!Y6</f>
        <v>30</v>
      </c>
      <c r="L5" s="6">
        <f>'New Purchases'!Y9</f>
        <v>4</v>
      </c>
      <c r="M5" s="6">
        <f>'New Purchases'!Y10</f>
        <v>3</v>
      </c>
      <c r="N5" s="6">
        <f>COUNTIF('New Purchases'!AC4:AC37,"Hold")</f>
        <v>1</v>
      </c>
      <c r="O5" s="6">
        <f>COUNTIF('New Purchases'!AC4:AC37,"Faulty")</f>
        <v>0</v>
      </c>
      <c r="P5" s="6">
        <f>COUNTIF('New Purchases'!W4:W35,"&lt;&gt;")</f>
        <v>1</v>
      </c>
      <c r="Q5" s="8">
        <f>COUNTIF('New Purchases'!X4:X35,"&lt;&gt;")</f>
        <v>7</v>
      </c>
    </row>
    <row r="6" spans="1:17" ht="19.5" customHeight="1">
      <c r="A6" s="14" t="s">
        <v>20</v>
      </c>
      <c r="B6" s="11">
        <f>COUNTA('Lab 1, 2, 3 Inventory'!B5:B500)</f>
        <v>19</v>
      </c>
      <c r="C6" s="14" t="s">
        <v>21</v>
      </c>
      <c r="D6" s="15" t="str">
        <f>HYPERLINK("#'Lab 1, 2, 3 Inventory'!A3","Click")</f>
        <v>Click</v>
      </c>
    </row>
    <row r="7" spans="1:17" ht="19.5" customHeight="1">
      <c r="A7" s="10" t="s">
        <v>22</v>
      </c>
      <c r="B7" s="11">
        <f>COUNTA('Lab 1, 2, 3 Inventory'!L5:L200)</f>
        <v>13</v>
      </c>
      <c r="C7" s="10" t="s">
        <v>21</v>
      </c>
      <c r="D7" s="12" t="str">
        <f>HYPERLINK("#'Lab 1, 2, 3 Inventory'!K3","Click")</f>
        <v>Click</v>
      </c>
    </row>
    <row r="8" spans="1:17" ht="19.5" customHeight="1">
      <c r="A8" s="14" t="s">
        <v>23</v>
      </c>
      <c r="B8" s="11">
        <f>COUNTA('Lab 1, 2, 3 Inventory'!V5:V206)</f>
        <v>8</v>
      </c>
      <c r="C8" s="14" t="s">
        <v>21</v>
      </c>
      <c r="D8" s="15" t="str">
        <f>HYPERLINK("#'Lab 1, 2, 3 Inventory'!U3","Click")</f>
        <v>Click</v>
      </c>
    </row>
    <row r="9" spans="1:17" ht="19.5" customHeight="1">
      <c r="A9" s="10" t="s">
        <v>24</v>
      </c>
      <c r="B9" s="11">
        <f>COUNTA('Staff Configuration'!B5:B250)</f>
        <v>4</v>
      </c>
      <c r="C9" s="10" t="s">
        <v>25</v>
      </c>
      <c r="D9" s="15" t="str">
        <f>HYPERLINK("#'Staff Configuration'!A3","Click")</f>
        <v>Click</v>
      </c>
    </row>
    <row r="10" spans="1:17" ht="15" customHeight="1">
      <c r="A10" s="14" t="s">
        <v>26</v>
      </c>
      <c r="B10" s="11" t="str">
        <f>"Total PC: "&amp;SUM(B6:B9)</f>
        <v>Total PC: 44</v>
      </c>
      <c r="C10" s="14" t="s">
        <v>27</v>
      </c>
      <c r="D10" s="9"/>
    </row>
    <row r="11" spans="1:17" ht="19.5" customHeight="1">
      <c r="A11" s="10" t="s">
        <v>200</v>
      </c>
      <c r="B11" s="11">
        <f>COUNTA('Monthly Fault Sheet'!B5:B113)</f>
        <v>36</v>
      </c>
      <c r="C11" s="10" t="s">
        <v>28</v>
      </c>
      <c r="D11" s="15" t="str">
        <f>HYPERLINK("#'Monthly Fault Sheet'!A1","Click")</f>
        <v>Click</v>
      </c>
    </row>
    <row r="12" spans="1:17" ht="19.5" customHeight="1">
      <c r="A12" s="14" t="s">
        <v>29</v>
      </c>
      <c r="B12" s="11">
        <f>COUNTA('New Purchases'!M6:M19)</f>
        <v>12</v>
      </c>
      <c r="C12" s="14" t="s">
        <v>30</v>
      </c>
      <c r="D12" s="15" t="str">
        <f>HYPERLINK("#'New Purchases'!A3","Click")</f>
        <v>Click</v>
      </c>
    </row>
    <row r="13" spans="1:17" ht="19.5" customHeight="1">
      <c r="A13" s="10" t="s">
        <v>31</v>
      </c>
      <c r="B13" s="11" t="str">
        <f>"Items: "&amp;SUM(F5:J5,L5:Q5)&amp;" | Ethernet: "&amp;K5</f>
        <v>Items: 18 | Ethernet: 30</v>
      </c>
      <c r="C13" s="10" t="s">
        <v>32</v>
      </c>
      <c r="D13" s="12" t="str">
        <f>HYPERLINK("#'New Purchases'!Q1","Click")</f>
        <v>Click</v>
      </c>
    </row>
    <row r="14" spans="1:17" ht="15.75">
      <c r="A14" s="10" t="s">
        <v>31</v>
      </c>
      <c r="B14" s="11" t="str">
        <f>"Items: "&amp;COUNTA('New Purchases'!U17:U98)&amp;" | Total Qty: "&amp;SUM('New Purchases'!AA17:AA43)</f>
        <v>Items: 6 | Total Qty: 29</v>
      </c>
      <c r="C14" s="10" t="s">
        <v>174</v>
      </c>
      <c r="D14" s="12" t="str">
        <f>HYPERLINK("#'New Purchases'!Q1","Click")</f>
        <v>Click</v>
      </c>
    </row>
    <row r="17" spans="2:2">
      <c r="B17" s="4" t="s">
        <v>203</v>
      </c>
    </row>
  </sheetData>
  <mergeCells count="4">
    <mergeCell ref="A1:D1"/>
    <mergeCell ref="A2:D2"/>
    <mergeCell ref="A3:D3"/>
    <mergeCell ref="F3:Q3"/>
  </mergeCells>
  <pageMargins left="0.75" right="0.75" top="1" bottom="1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AC38"/>
  <sheetViews>
    <sheetView showGridLines="0" topLeftCell="A13" zoomScaleNormal="100" workbookViewId="0">
      <selection activeCell="A36" sqref="A36"/>
    </sheetView>
  </sheetViews>
  <sheetFormatPr defaultColWidth="9.140625" defaultRowHeight="15"/>
  <cols>
    <col min="1" max="1" width="15.85546875" style="4" bestFit="1" customWidth="1"/>
    <col min="2" max="2" width="15.140625" style="4" bestFit="1" customWidth="1"/>
    <col min="3" max="3" width="9.42578125" style="4" bestFit="1" customWidth="1"/>
    <col min="4" max="4" width="9.5703125" style="4" bestFit="1" customWidth="1"/>
    <col min="5" max="5" width="5.28515625" style="4" bestFit="1" customWidth="1"/>
    <col min="6" max="6" width="7.7109375" style="4" bestFit="1" customWidth="1"/>
    <col min="7" max="7" width="16.85546875" style="4" bestFit="1" customWidth="1"/>
    <col min="8" max="8" width="23.28515625" style="4" bestFit="1" customWidth="1"/>
    <col min="9" max="9" width="11.28515625" style="4" customWidth="1"/>
    <col min="10" max="10" width="9.140625" style="4"/>
    <col min="11" max="11" width="5.140625" style="4" bestFit="1" customWidth="1"/>
    <col min="12" max="12" width="15.140625" style="4" bestFit="1" customWidth="1"/>
    <col min="13" max="13" width="9.42578125" style="4" customWidth="1"/>
    <col min="14" max="14" width="9.5703125" style="4" bestFit="1" customWidth="1"/>
    <col min="15" max="15" width="5.28515625" style="4" bestFit="1" customWidth="1"/>
    <col min="16" max="16" width="10.5703125" style="4" bestFit="1" customWidth="1"/>
    <col min="17" max="17" width="16.85546875" style="4" bestFit="1" customWidth="1"/>
    <col min="18" max="18" width="23.28515625" style="4" bestFit="1" customWidth="1"/>
    <col min="19" max="19" width="12.85546875" style="4" customWidth="1"/>
    <col min="20" max="20" width="9.140625" style="4"/>
    <col min="21" max="21" width="5.140625" style="4" bestFit="1" customWidth="1"/>
    <col min="22" max="22" width="15.28515625" style="4" customWidth="1"/>
    <col min="23" max="23" width="9.42578125" style="4" customWidth="1"/>
    <col min="24" max="24" width="9.5703125" style="4" bestFit="1" customWidth="1"/>
    <col min="25" max="25" width="5.28515625" style="4" customWidth="1"/>
    <col min="26" max="26" width="10.5703125" style="4" bestFit="1" customWidth="1"/>
    <col min="27" max="27" width="16.85546875" style="4" bestFit="1" customWidth="1"/>
    <col min="28" max="28" width="23.28515625" style="4" bestFit="1" customWidth="1"/>
    <col min="29" max="29" width="10.85546875" style="4" customWidth="1"/>
    <col min="30" max="16384" width="9.140625" style="4"/>
  </cols>
  <sheetData>
    <row r="1" spans="1:29" ht="18" customHeight="1">
      <c r="A1" s="25" t="s">
        <v>33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</row>
    <row r="2" spans="1:29" ht="15" customHeight="1"/>
    <row r="3" spans="1:29" ht="18" customHeight="1">
      <c r="A3" s="23" t="s">
        <v>34</v>
      </c>
      <c r="B3" s="23"/>
      <c r="C3" s="23"/>
      <c r="D3" s="23"/>
      <c r="E3" s="23"/>
      <c r="F3" s="23"/>
      <c r="G3" s="23"/>
      <c r="H3" s="23"/>
      <c r="I3" s="23"/>
      <c r="K3" s="23" t="s">
        <v>35</v>
      </c>
      <c r="L3" s="23"/>
      <c r="M3" s="23"/>
      <c r="N3" s="23"/>
      <c r="O3" s="23"/>
      <c r="P3" s="23"/>
      <c r="Q3" s="23"/>
      <c r="R3" s="23"/>
      <c r="S3" s="23"/>
      <c r="U3" s="23" t="s">
        <v>36</v>
      </c>
      <c r="V3" s="23"/>
      <c r="W3" s="23"/>
      <c r="X3" s="23"/>
      <c r="Y3" s="23"/>
      <c r="Z3" s="23"/>
      <c r="AA3" s="23"/>
      <c r="AB3" s="23"/>
      <c r="AC3" s="23"/>
    </row>
    <row r="4" spans="1:29" ht="18" customHeight="1">
      <c r="A4" s="13" t="s">
        <v>37</v>
      </c>
      <c r="B4" s="13" t="s">
        <v>38</v>
      </c>
      <c r="C4" s="13" t="s">
        <v>39</v>
      </c>
      <c r="D4" s="13" t="s">
        <v>40</v>
      </c>
      <c r="E4" s="13" t="s">
        <v>41</v>
      </c>
      <c r="F4" s="13" t="s">
        <v>42</v>
      </c>
      <c r="G4" s="13" t="s">
        <v>43</v>
      </c>
      <c r="H4" s="13" t="s">
        <v>44</v>
      </c>
      <c r="I4" s="13" t="s">
        <v>45</v>
      </c>
      <c r="K4" s="13" t="s">
        <v>37</v>
      </c>
      <c r="L4" s="13" t="s">
        <v>38</v>
      </c>
      <c r="M4" s="13" t="s">
        <v>39</v>
      </c>
      <c r="N4" s="13" t="s">
        <v>40</v>
      </c>
      <c r="O4" s="13" t="s">
        <v>41</v>
      </c>
      <c r="P4" s="13" t="s">
        <v>42</v>
      </c>
      <c r="Q4" s="13" t="s">
        <v>43</v>
      </c>
      <c r="R4" s="13" t="s">
        <v>44</v>
      </c>
      <c r="S4" s="13" t="s">
        <v>45</v>
      </c>
      <c r="U4" s="13" t="s">
        <v>37</v>
      </c>
      <c r="V4" s="13" t="s">
        <v>38</v>
      </c>
      <c r="W4" s="13" t="s">
        <v>39</v>
      </c>
      <c r="X4" s="13" t="s">
        <v>40</v>
      </c>
      <c r="Y4" s="13" t="s">
        <v>41</v>
      </c>
      <c r="Z4" s="13" t="s">
        <v>42</v>
      </c>
      <c r="AA4" s="13" t="s">
        <v>43</v>
      </c>
      <c r="AB4" s="13" t="s">
        <v>44</v>
      </c>
      <c r="AC4" s="13" t="s">
        <v>45</v>
      </c>
    </row>
    <row r="5" spans="1:29" ht="19.5" customHeight="1">
      <c r="A5" s="10">
        <v>1</v>
      </c>
      <c r="B5" s="10" t="s">
        <v>46</v>
      </c>
      <c r="C5" s="10" t="s">
        <v>47</v>
      </c>
      <c r="D5" s="10" t="s">
        <v>48</v>
      </c>
      <c r="E5" s="10" t="s">
        <v>49</v>
      </c>
      <c r="F5" s="10" t="s">
        <v>50</v>
      </c>
      <c r="G5" s="10" t="s">
        <v>51</v>
      </c>
      <c r="H5" s="10" t="s">
        <v>52</v>
      </c>
      <c r="I5" s="10" t="s">
        <v>53</v>
      </c>
      <c r="K5" s="10">
        <f t="shared" ref="K5:K15" si="0">IF(L5="","",ROW(L5)-4)</f>
        <v>1</v>
      </c>
      <c r="L5" s="10" t="s">
        <v>46</v>
      </c>
      <c r="M5" s="10" t="s">
        <v>47</v>
      </c>
      <c r="N5" s="10" t="s">
        <v>48</v>
      </c>
      <c r="O5" s="10" t="s">
        <v>54</v>
      </c>
      <c r="P5" s="10" t="s">
        <v>55</v>
      </c>
      <c r="Q5" s="10" t="s">
        <v>56</v>
      </c>
      <c r="R5" s="10" t="s">
        <v>52</v>
      </c>
      <c r="S5" s="10" t="s">
        <v>53</v>
      </c>
      <c r="U5" s="14">
        <f>IF(V4="","",ROW(U5)-4)</f>
        <v>1</v>
      </c>
      <c r="V5" s="14" t="s">
        <v>63</v>
      </c>
      <c r="W5" s="14" t="s">
        <v>58</v>
      </c>
      <c r="X5" s="14" t="s">
        <v>48</v>
      </c>
      <c r="Y5" s="5" t="s">
        <v>169</v>
      </c>
      <c r="Z5" s="14" t="s">
        <v>62</v>
      </c>
      <c r="AA5" s="14" t="s">
        <v>64</v>
      </c>
      <c r="AB5" s="10" t="s">
        <v>215</v>
      </c>
      <c r="AC5" s="14" t="s">
        <v>53</v>
      </c>
    </row>
    <row r="6" spans="1:29" ht="19.5" customHeight="1">
      <c r="A6" s="14">
        <f>IF(B6="","",ROWS($A$5:A6))</f>
        <v>2</v>
      </c>
      <c r="B6" s="14" t="s">
        <v>57</v>
      </c>
      <c r="C6" s="14" t="s">
        <v>58</v>
      </c>
      <c r="D6" s="14" t="s">
        <v>48</v>
      </c>
      <c r="E6" s="14" t="s">
        <v>49</v>
      </c>
      <c r="F6" s="14" t="s">
        <v>59</v>
      </c>
      <c r="G6" s="14" t="s">
        <v>51</v>
      </c>
      <c r="H6" s="14" t="s">
        <v>60</v>
      </c>
      <c r="I6" s="14" t="s">
        <v>53</v>
      </c>
      <c r="K6" s="14">
        <f t="shared" si="0"/>
        <v>2</v>
      </c>
      <c r="L6" s="14" t="s">
        <v>61</v>
      </c>
      <c r="M6" s="14">
        <v>123</v>
      </c>
      <c r="N6" s="14" t="s">
        <v>48</v>
      </c>
      <c r="O6" s="14" t="s">
        <v>54</v>
      </c>
      <c r="P6" s="14" t="s">
        <v>62</v>
      </c>
      <c r="Q6" s="14" t="s">
        <v>56</v>
      </c>
      <c r="R6" s="14" t="s">
        <v>60</v>
      </c>
      <c r="S6" s="14" t="s">
        <v>53</v>
      </c>
      <c r="U6" s="14">
        <f t="shared" ref="U6:U18" si="1">IF(V5="","",ROW(U6)-4)</f>
        <v>2</v>
      </c>
      <c r="V6" s="10" t="s">
        <v>70</v>
      </c>
      <c r="W6" s="14" t="s">
        <v>58</v>
      </c>
      <c r="X6" s="14" t="s">
        <v>48</v>
      </c>
      <c r="Y6" s="5" t="s">
        <v>169</v>
      </c>
      <c r="Z6" s="14" t="s">
        <v>62</v>
      </c>
      <c r="AA6" s="14" t="s">
        <v>64</v>
      </c>
      <c r="AB6" s="14" t="s">
        <v>52</v>
      </c>
      <c r="AC6" s="14" t="s">
        <v>53</v>
      </c>
    </row>
    <row r="7" spans="1:29" ht="19.5" customHeight="1">
      <c r="A7" s="10">
        <f>IF(B7="","",ROWS($A$5:A7))</f>
        <v>3</v>
      </c>
      <c r="B7" s="10" t="s">
        <v>65</v>
      </c>
      <c r="C7" s="10" t="s">
        <v>58</v>
      </c>
      <c r="D7" s="14" t="s">
        <v>48</v>
      </c>
      <c r="E7" s="14" t="s">
        <v>49</v>
      </c>
      <c r="F7" s="10">
        <f>-J12</f>
        <v>0</v>
      </c>
      <c r="G7" s="10" t="s">
        <v>51</v>
      </c>
      <c r="H7" s="10" t="s">
        <v>66</v>
      </c>
      <c r="I7" s="10" t="s">
        <v>67</v>
      </c>
      <c r="K7" s="10">
        <f t="shared" si="0"/>
        <v>3</v>
      </c>
      <c r="L7" s="10" t="s">
        <v>68</v>
      </c>
      <c r="M7" s="10" t="s">
        <v>58</v>
      </c>
      <c r="N7" s="10" t="s">
        <v>48</v>
      </c>
      <c r="O7" s="10" t="s">
        <v>54</v>
      </c>
      <c r="P7" s="10" t="s">
        <v>62</v>
      </c>
      <c r="Q7" s="10" t="s">
        <v>56</v>
      </c>
      <c r="R7" s="10" t="s">
        <v>69</v>
      </c>
      <c r="S7" s="10" t="s">
        <v>53</v>
      </c>
      <c r="U7" s="14">
        <f t="shared" si="1"/>
        <v>3</v>
      </c>
      <c r="V7" s="14" t="s">
        <v>74</v>
      </c>
      <c r="W7" s="10" t="s">
        <v>58</v>
      </c>
      <c r="X7" s="10" t="s">
        <v>48</v>
      </c>
      <c r="Y7" s="5" t="s">
        <v>169</v>
      </c>
      <c r="Z7" s="10" t="s">
        <v>62</v>
      </c>
      <c r="AA7" s="10" t="s">
        <v>64</v>
      </c>
      <c r="AB7" s="10" t="s">
        <v>60</v>
      </c>
      <c r="AC7" s="10" t="s">
        <v>53</v>
      </c>
    </row>
    <row r="8" spans="1:29" ht="19.5" customHeight="1">
      <c r="A8" s="14">
        <f>IF(B8="","",ROWS($A$5:A8))</f>
        <v>4</v>
      </c>
      <c r="B8" s="14" t="s">
        <v>71</v>
      </c>
      <c r="C8" s="14" t="s">
        <v>58</v>
      </c>
      <c r="D8" s="14" t="s">
        <v>48</v>
      </c>
      <c r="E8" s="14" t="s">
        <v>49</v>
      </c>
      <c r="F8" s="14" t="s">
        <v>59</v>
      </c>
      <c r="G8" s="14" t="s">
        <v>51</v>
      </c>
      <c r="H8" s="14" t="s">
        <v>69</v>
      </c>
      <c r="I8" s="14" t="s">
        <v>53</v>
      </c>
      <c r="K8" s="14">
        <f t="shared" si="0"/>
        <v>4</v>
      </c>
      <c r="L8" s="14" t="s">
        <v>72</v>
      </c>
      <c r="M8" s="14" t="s">
        <v>58</v>
      </c>
      <c r="N8" s="14" t="s">
        <v>48</v>
      </c>
      <c r="O8" s="14" t="s">
        <v>54</v>
      </c>
      <c r="P8" s="14" t="s">
        <v>62</v>
      </c>
      <c r="Q8" s="14" t="s">
        <v>56</v>
      </c>
      <c r="R8" s="14" t="s">
        <v>73</v>
      </c>
      <c r="S8" s="14" t="s">
        <v>53</v>
      </c>
      <c r="U8" s="14">
        <f t="shared" si="1"/>
        <v>4</v>
      </c>
      <c r="V8" s="14" t="s">
        <v>74</v>
      </c>
      <c r="W8" s="14" t="s">
        <v>58</v>
      </c>
      <c r="X8" s="14" t="s">
        <v>48</v>
      </c>
      <c r="Y8" s="5" t="s">
        <v>169</v>
      </c>
      <c r="Z8" s="14" t="s">
        <v>62</v>
      </c>
      <c r="AA8" s="14" t="s">
        <v>64</v>
      </c>
      <c r="AB8" s="14" t="s">
        <v>69</v>
      </c>
      <c r="AC8" s="14" t="s">
        <v>53</v>
      </c>
    </row>
    <row r="9" spans="1:29" ht="19.5" customHeight="1">
      <c r="A9" s="14">
        <f>IF(B9="","",ROWS($A$5:A9))</f>
        <v>5</v>
      </c>
      <c r="B9" s="10" t="s">
        <v>75</v>
      </c>
      <c r="C9" s="10" t="s">
        <v>58</v>
      </c>
      <c r="D9" s="10" t="s">
        <v>48</v>
      </c>
      <c r="E9" s="10" t="s">
        <v>49</v>
      </c>
      <c r="F9" s="10" t="s">
        <v>59</v>
      </c>
      <c r="G9" s="10" t="s">
        <v>51</v>
      </c>
      <c r="H9" s="10" t="s">
        <v>73</v>
      </c>
      <c r="I9" s="10" t="s">
        <v>53</v>
      </c>
      <c r="K9" s="10">
        <f t="shared" si="0"/>
        <v>5</v>
      </c>
      <c r="L9" s="10" t="s">
        <v>76</v>
      </c>
      <c r="M9" s="10" t="s">
        <v>58</v>
      </c>
      <c r="N9" s="10" t="s">
        <v>48</v>
      </c>
      <c r="O9" s="10" t="s">
        <v>54</v>
      </c>
      <c r="P9" s="10" t="s">
        <v>62</v>
      </c>
      <c r="Q9" s="10" t="s">
        <v>56</v>
      </c>
      <c r="R9" s="10" t="s">
        <v>77</v>
      </c>
      <c r="S9" s="10" t="s">
        <v>53</v>
      </c>
      <c r="U9" s="14">
        <f t="shared" si="1"/>
        <v>5</v>
      </c>
      <c r="V9" s="14" t="s">
        <v>74</v>
      </c>
      <c r="W9" s="14" t="s">
        <v>58</v>
      </c>
      <c r="X9" s="14" t="s">
        <v>48</v>
      </c>
      <c r="Y9" s="5" t="s">
        <v>169</v>
      </c>
      <c r="Z9" s="14" t="s">
        <v>62</v>
      </c>
      <c r="AA9" s="14" t="s">
        <v>64</v>
      </c>
      <c r="AB9" s="10" t="s">
        <v>215</v>
      </c>
      <c r="AC9" s="14" t="s">
        <v>53</v>
      </c>
    </row>
    <row r="10" spans="1:29" ht="19.5" customHeight="1">
      <c r="A10" s="14">
        <f>IF(B10="","",ROWS($A$5:A10))</f>
        <v>6</v>
      </c>
      <c r="B10" s="14" t="s">
        <v>78</v>
      </c>
      <c r="C10" s="14" t="s">
        <v>58</v>
      </c>
      <c r="D10" s="14" t="s">
        <v>48</v>
      </c>
      <c r="E10" s="14" t="s">
        <v>49</v>
      </c>
      <c r="F10" s="14" t="s">
        <v>59</v>
      </c>
      <c r="G10" s="14" t="s">
        <v>51</v>
      </c>
      <c r="H10" s="14" t="s">
        <v>77</v>
      </c>
      <c r="I10" s="14" t="s">
        <v>53</v>
      </c>
      <c r="K10" s="14">
        <f t="shared" si="0"/>
        <v>6</v>
      </c>
      <c r="L10" s="14" t="s">
        <v>79</v>
      </c>
      <c r="M10" s="14" t="s">
        <v>58</v>
      </c>
      <c r="N10" s="14" t="s">
        <v>48</v>
      </c>
      <c r="O10" s="14" t="s">
        <v>54</v>
      </c>
      <c r="P10" s="14" t="s">
        <v>62</v>
      </c>
      <c r="Q10" s="14" t="s">
        <v>56</v>
      </c>
      <c r="R10" s="14" t="s">
        <v>80</v>
      </c>
      <c r="S10" s="14" t="s">
        <v>53</v>
      </c>
      <c r="U10" s="14">
        <f t="shared" si="1"/>
        <v>6</v>
      </c>
      <c r="V10" s="14" t="s">
        <v>74</v>
      </c>
      <c r="W10" s="14" t="s">
        <v>58</v>
      </c>
      <c r="X10" s="14" t="s">
        <v>48</v>
      </c>
      <c r="Y10" s="5" t="s">
        <v>169</v>
      </c>
      <c r="Z10" s="14" t="s">
        <v>62</v>
      </c>
      <c r="AA10" s="14" t="s">
        <v>64</v>
      </c>
      <c r="AB10" s="10" t="s">
        <v>215</v>
      </c>
      <c r="AC10" s="14" t="s">
        <v>53</v>
      </c>
    </row>
    <row r="11" spans="1:29" ht="19.5" customHeight="1">
      <c r="A11" s="14">
        <f>IF(B11="","",ROWS($A$5:A11))</f>
        <v>7</v>
      </c>
      <c r="B11" s="10" t="s">
        <v>81</v>
      </c>
      <c r="C11" s="10" t="s">
        <v>58</v>
      </c>
      <c r="D11" s="10" t="s">
        <v>179</v>
      </c>
      <c r="E11" s="10" t="s">
        <v>49</v>
      </c>
      <c r="F11" s="14" t="s">
        <v>59</v>
      </c>
      <c r="G11" s="10" t="s">
        <v>51</v>
      </c>
      <c r="H11" s="10" t="s">
        <v>80</v>
      </c>
      <c r="I11" s="10" t="s">
        <v>53</v>
      </c>
      <c r="K11" s="10">
        <f t="shared" si="0"/>
        <v>7</v>
      </c>
      <c r="L11" s="10" t="s">
        <v>82</v>
      </c>
      <c r="M11" s="10" t="s">
        <v>58</v>
      </c>
      <c r="N11" s="10" t="s">
        <v>48</v>
      </c>
      <c r="O11" s="10" t="s">
        <v>54</v>
      </c>
      <c r="P11" s="10" t="s">
        <v>62</v>
      </c>
      <c r="Q11" s="10" t="s">
        <v>56</v>
      </c>
      <c r="R11" s="10" t="s">
        <v>80</v>
      </c>
      <c r="S11" s="10" t="s">
        <v>53</v>
      </c>
      <c r="U11" s="14">
        <f t="shared" si="1"/>
        <v>7</v>
      </c>
      <c r="V11" s="14" t="s">
        <v>74</v>
      </c>
      <c r="W11" s="14" t="s">
        <v>58</v>
      </c>
      <c r="X11" s="5" t="s">
        <v>213</v>
      </c>
      <c r="Y11" s="5" t="s">
        <v>169</v>
      </c>
      <c r="Z11" s="14" t="s">
        <v>214</v>
      </c>
      <c r="AA11" s="14" t="s">
        <v>64</v>
      </c>
      <c r="AB11" s="10" t="s">
        <v>215</v>
      </c>
      <c r="AC11" s="14" t="s">
        <v>53</v>
      </c>
    </row>
    <row r="12" spans="1:29" ht="19.5" customHeight="1">
      <c r="A12" s="14">
        <f>IF(B12="","",ROWS($A$5:A12))</f>
        <v>8</v>
      </c>
      <c r="B12" s="14" t="s">
        <v>83</v>
      </c>
      <c r="C12" s="14" t="s">
        <v>58</v>
      </c>
      <c r="D12" s="10" t="s">
        <v>48</v>
      </c>
      <c r="E12" s="14" t="s">
        <v>49</v>
      </c>
      <c r="F12" s="10" t="s">
        <v>59</v>
      </c>
      <c r="G12" s="14" t="s">
        <v>51</v>
      </c>
      <c r="H12" s="14" t="s">
        <v>80</v>
      </c>
      <c r="I12" s="14" t="s">
        <v>53</v>
      </c>
      <c r="K12" s="14">
        <f t="shared" si="0"/>
        <v>8</v>
      </c>
      <c r="L12" s="14" t="s">
        <v>85</v>
      </c>
      <c r="M12" s="14" t="s">
        <v>58</v>
      </c>
      <c r="N12" s="14" t="s">
        <v>48</v>
      </c>
      <c r="O12" s="14" t="s">
        <v>54</v>
      </c>
      <c r="P12" s="14" t="s">
        <v>62</v>
      </c>
      <c r="Q12" s="14" t="s">
        <v>56</v>
      </c>
      <c r="R12" s="14" t="s">
        <v>80</v>
      </c>
      <c r="S12" s="14" t="s">
        <v>53</v>
      </c>
      <c r="U12" s="14">
        <f t="shared" si="1"/>
        <v>8</v>
      </c>
      <c r="V12" s="14" t="s">
        <v>74</v>
      </c>
      <c r="W12" s="14" t="s">
        <v>58</v>
      </c>
      <c r="X12" s="5" t="s">
        <v>213</v>
      </c>
      <c r="Y12" s="5" t="s">
        <v>169</v>
      </c>
      <c r="Z12" s="14" t="s">
        <v>55</v>
      </c>
      <c r="AA12" s="14" t="s">
        <v>64</v>
      </c>
      <c r="AB12" s="10" t="s">
        <v>215</v>
      </c>
      <c r="AC12" s="14" t="s">
        <v>53</v>
      </c>
    </row>
    <row r="13" spans="1:29" ht="19.5" customHeight="1">
      <c r="A13" s="14">
        <f>IF(B13="","",ROWS($A$5:A13))</f>
        <v>9</v>
      </c>
      <c r="B13" s="10" t="s">
        <v>86</v>
      </c>
      <c r="C13" s="10" t="s">
        <v>58</v>
      </c>
      <c r="D13" s="10" t="s">
        <v>179</v>
      </c>
      <c r="E13" s="10" t="s">
        <v>49</v>
      </c>
      <c r="F13" s="10" t="s">
        <v>180</v>
      </c>
      <c r="G13" s="10" t="s">
        <v>51</v>
      </c>
      <c r="H13" s="10" t="s">
        <v>80</v>
      </c>
      <c r="I13" s="10" t="s">
        <v>53</v>
      </c>
      <c r="K13" s="10">
        <f t="shared" si="0"/>
        <v>9</v>
      </c>
      <c r="L13" s="10" t="s">
        <v>87</v>
      </c>
      <c r="M13" s="10" t="s">
        <v>58</v>
      </c>
      <c r="N13" s="10" t="s">
        <v>48</v>
      </c>
      <c r="O13" s="10" t="s">
        <v>54</v>
      </c>
      <c r="P13" s="10" t="s">
        <v>62</v>
      </c>
      <c r="Q13" s="10" t="s">
        <v>56</v>
      </c>
      <c r="R13" s="10" t="s">
        <v>80</v>
      </c>
      <c r="S13" s="10" t="s">
        <v>53</v>
      </c>
      <c r="U13" s="14">
        <f t="shared" si="1"/>
        <v>9</v>
      </c>
      <c r="W13" s="5"/>
      <c r="X13" s="5"/>
      <c r="Y13" s="5"/>
      <c r="Z13" s="5"/>
      <c r="AA13" s="5"/>
      <c r="AB13" s="5"/>
      <c r="AC13" s="5"/>
    </row>
    <row r="14" spans="1:29" ht="19.5" customHeight="1">
      <c r="A14" s="14">
        <f>IF(B14="","",ROWS($A$5:A14))</f>
        <v>10</v>
      </c>
      <c r="B14" s="14" t="s">
        <v>88</v>
      </c>
      <c r="C14" s="14" t="s">
        <v>58</v>
      </c>
      <c r="D14" s="10" t="s">
        <v>179</v>
      </c>
      <c r="E14" s="14" t="s">
        <v>49</v>
      </c>
      <c r="F14" s="10" t="s">
        <v>180</v>
      </c>
      <c r="G14" s="14" t="s">
        <v>51</v>
      </c>
      <c r="H14" s="14" t="s">
        <v>80</v>
      </c>
      <c r="I14" s="14" t="s">
        <v>53</v>
      </c>
      <c r="K14" s="14">
        <f t="shared" si="0"/>
        <v>10</v>
      </c>
      <c r="L14" s="14" t="s">
        <v>89</v>
      </c>
      <c r="M14" s="14" t="s">
        <v>58</v>
      </c>
      <c r="N14" s="14" t="s">
        <v>48</v>
      </c>
      <c r="O14" s="14" t="s">
        <v>54</v>
      </c>
      <c r="P14" s="14" t="s">
        <v>62</v>
      </c>
      <c r="Q14" s="14" t="s">
        <v>56</v>
      </c>
      <c r="R14" s="14" t="s">
        <v>80</v>
      </c>
      <c r="S14" s="14" t="s">
        <v>53</v>
      </c>
      <c r="U14" s="14" t="str">
        <f t="shared" si="1"/>
        <v/>
      </c>
      <c r="V14" s="5"/>
      <c r="W14" s="5"/>
      <c r="X14" s="5"/>
      <c r="Y14" s="5"/>
      <c r="Z14" s="5"/>
      <c r="AA14" s="5"/>
      <c r="AB14" s="5"/>
      <c r="AC14" s="5"/>
    </row>
    <row r="15" spans="1:29" ht="19.5" customHeight="1">
      <c r="A15" s="14">
        <f>IF(B15="","",ROWS($A$5:A15))</f>
        <v>11</v>
      </c>
      <c r="B15" s="10" t="s">
        <v>90</v>
      </c>
      <c r="C15" s="10" t="s">
        <v>58</v>
      </c>
      <c r="D15" s="10" t="s">
        <v>48</v>
      </c>
      <c r="E15" s="10" t="s">
        <v>49</v>
      </c>
      <c r="F15" s="10" t="s">
        <v>171</v>
      </c>
      <c r="G15" s="10" t="s">
        <v>51</v>
      </c>
      <c r="H15" s="10" t="s">
        <v>80</v>
      </c>
      <c r="I15" s="10" t="s">
        <v>53</v>
      </c>
      <c r="K15" s="10">
        <f t="shared" si="0"/>
        <v>11</v>
      </c>
      <c r="L15" s="10" t="s">
        <v>91</v>
      </c>
      <c r="M15" s="10" t="s">
        <v>58</v>
      </c>
      <c r="N15" s="10" t="s">
        <v>48</v>
      </c>
      <c r="O15" s="10" t="s">
        <v>54</v>
      </c>
      <c r="P15" s="10" t="s">
        <v>62</v>
      </c>
      <c r="Q15" s="10" t="s">
        <v>56</v>
      </c>
      <c r="R15" s="10" t="s">
        <v>80</v>
      </c>
      <c r="S15" s="10" t="s">
        <v>53</v>
      </c>
      <c r="U15" s="14" t="str">
        <f t="shared" si="1"/>
        <v/>
      </c>
      <c r="V15" s="5"/>
      <c r="W15" s="5"/>
      <c r="X15" s="5"/>
      <c r="Y15" s="5"/>
      <c r="Z15" s="5"/>
      <c r="AA15" s="5"/>
      <c r="AB15" s="5"/>
      <c r="AC15" s="5"/>
    </row>
    <row r="16" spans="1:29" ht="19.5" customHeight="1">
      <c r="A16" s="14">
        <f>IF(B16="","",ROWS($A$5:A16))</f>
        <v>12</v>
      </c>
      <c r="B16" s="14" t="s">
        <v>92</v>
      </c>
      <c r="C16" s="14" t="s">
        <v>58</v>
      </c>
      <c r="D16" s="10" t="s">
        <v>48</v>
      </c>
      <c r="E16" s="14" t="s">
        <v>49</v>
      </c>
      <c r="F16" s="14" t="s">
        <v>171</v>
      </c>
      <c r="G16" s="14" t="s">
        <v>51</v>
      </c>
      <c r="H16" s="14" t="s">
        <v>80</v>
      </c>
      <c r="I16" s="14" t="s">
        <v>53</v>
      </c>
      <c r="K16" s="5">
        <v>12</v>
      </c>
      <c r="L16" s="10" t="s">
        <v>198</v>
      </c>
      <c r="M16" s="10" t="s">
        <v>58</v>
      </c>
      <c r="N16" s="10" t="s">
        <v>48</v>
      </c>
      <c r="O16" s="10" t="s">
        <v>54</v>
      </c>
      <c r="P16" s="10" t="s">
        <v>62</v>
      </c>
      <c r="Q16" s="10" t="s">
        <v>56</v>
      </c>
      <c r="R16" s="10" t="s">
        <v>80</v>
      </c>
      <c r="S16" s="10" t="s">
        <v>53</v>
      </c>
      <c r="U16" s="14" t="str">
        <f t="shared" si="1"/>
        <v/>
      </c>
      <c r="V16" s="5"/>
      <c r="W16" s="5"/>
      <c r="X16" s="5"/>
      <c r="Y16" s="5"/>
      <c r="Z16" s="5"/>
      <c r="AA16" s="5"/>
      <c r="AB16" s="5"/>
      <c r="AC16" s="5"/>
    </row>
    <row r="17" spans="1:29" ht="19.5" customHeight="1">
      <c r="A17" s="14">
        <f>IF(B17="","",ROWS($A$5:A17))</f>
        <v>13</v>
      </c>
      <c r="B17" s="10" t="s">
        <v>93</v>
      </c>
      <c r="C17" s="10" t="s">
        <v>58</v>
      </c>
      <c r="D17" s="10" t="s">
        <v>48</v>
      </c>
      <c r="E17" s="10" t="s">
        <v>49</v>
      </c>
      <c r="F17" s="14" t="s">
        <v>171</v>
      </c>
      <c r="G17" s="10" t="s">
        <v>51</v>
      </c>
      <c r="H17" s="10" t="s">
        <v>80</v>
      </c>
      <c r="I17" s="10" t="s">
        <v>53</v>
      </c>
      <c r="K17" s="5">
        <v>13</v>
      </c>
      <c r="L17" s="10" t="s">
        <v>199</v>
      </c>
      <c r="M17" s="10" t="s">
        <v>58</v>
      </c>
      <c r="N17" s="10" t="s">
        <v>48</v>
      </c>
      <c r="O17" s="10" t="s">
        <v>54</v>
      </c>
      <c r="P17" s="10" t="s">
        <v>62</v>
      </c>
      <c r="Q17" s="10" t="s">
        <v>56</v>
      </c>
      <c r="R17" s="10" t="s">
        <v>80</v>
      </c>
      <c r="S17" s="10" t="s">
        <v>53</v>
      </c>
      <c r="U17" s="14" t="str">
        <f t="shared" si="1"/>
        <v/>
      </c>
      <c r="V17" s="5"/>
      <c r="W17" s="5"/>
      <c r="X17" s="5"/>
      <c r="Y17" s="5"/>
      <c r="Z17" s="5"/>
      <c r="AA17" s="5"/>
      <c r="AB17" s="5"/>
      <c r="AC17" s="5"/>
    </row>
    <row r="18" spans="1:29" ht="19.5" customHeight="1">
      <c r="A18" s="14">
        <f>IF(B18="","",ROWS($A$5:A18))</f>
        <v>14</v>
      </c>
      <c r="B18" s="14" t="s">
        <v>94</v>
      </c>
      <c r="C18" s="14" t="s">
        <v>58</v>
      </c>
      <c r="D18" s="10" t="s">
        <v>48</v>
      </c>
      <c r="E18" s="14" t="s">
        <v>49</v>
      </c>
      <c r="F18" s="14" t="s">
        <v>171</v>
      </c>
      <c r="G18" s="14" t="s">
        <v>51</v>
      </c>
      <c r="H18" s="14" t="s">
        <v>80</v>
      </c>
      <c r="I18" s="14" t="s">
        <v>53</v>
      </c>
      <c r="K18" s="5"/>
      <c r="L18" s="5"/>
      <c r="M18" s="5"/>
      <c r="N18" s="5"/>
      <c r="O18" s="5"/>
      <c r="P18" s="5"/>
      <c r="Q18" s="5"/>
      <c r="R18" s="5"/>
      <c r="S18" s="5"/>
      <c r="U18" s="14" t="str">
        <f t="shared" si="1"/>
        <v/>
      </c>
      <c r="V18" s="5"/>
      <c r="W18" s="5"/>
      <c r="X18" s="5"/>
      <c r="Y18" s="5"/>
      <c r="Z18" s="5"/>
      <c r="AA18" s="5"/>
      <c r="AB18" s="5"/>
      <c r="AC18" s="5"/>
    </row>
    <row r="19" spans="1:29" ht="19.5" customHeight="1">
      <c r="A19" s="14">
        <f>IF(B19="","",ROWS($A$5:A19))</f>
        <v>15</v>
      </c>
      <c r="B19" s="10" t="s">
        <v>95</v>
      </c>
      <c r="C19" s="10" t="s">
        <v>58</v>
      </c>
      <c r="D19" s="10" t="s">
        <v>48</v>
      </c>
      <c r="E19" s="10" t="s">
        <v>49</v>
      </c>
      <c r="F19" s="14" t="s">
        <v>171</v>
      </c>
      <c r="G19" s="10" t="s">
        <v>51</v>
      </c>
      <c r="H19" s="10" t="s">
        <v>80</v>
      </c>
      <c r="I19" s="10" t="s">
        <v>53</v>
      </c>
      <c r="K19" s="5"/>
      <c r="L19" s="5"/>
      <c r="M19" s="5"/>
      <c r="N19" s="5"/>
      <c r="O19" s="5"/>
      <c r="P19" s="5"/>
      <c r="Q19" s="5"/>
      <c r="R19" s="5"/>
      <c r="S19" s="5"/>
    </row>
    <row r="20" spans="1:29" ht="19.5" customHeight="1">
      <c r="A20" s="14">
        <f>IF(B20="","",ROWS($A$5:A20))</f>
        <v>16</v>
      </c>
      <c r="B20" s="14" t="s">
        <v>96</v>
      </c>
      <c r="C20" s="14" t="s">
        <v>58</v>
      </c>
      <c r="D20" s="14" t="s">
        <v>84</v>
      </c>
      <c r="E20" s="14" t="s">
        <v>49</v>
      </c>
      <c r="F20" s="14" t="s">
        <v>171</v>
      </c>
      <c r="G20" s="14" t="s">
        <v>51</v>
      </c>
      <c r="H20" s="14" t="s">
        <v>80</v>
      </c>
      <c r="I20" s="14" t="s">
        <v>53</v>
      </c>
    </row>
    <row r="21" spans="1:29" ht="19.5" customHeight="1">
      <c r="A21" s="14">
        <f>IF(B21="","",ROWS($A$5:A21))</f>
        <v>17</v>
      </c>
      <c r="B21" s="10" t="s">
        <v>97</v>
      </c>
      <c r="C21" s="10" t="s">
        <v>58</v>
      </c>
      <c r="D21" s="14" t="s">
        <v>84</v>
      </c>
      <c r="E21" s="10" t="s">
        <v>49</v>
      </c>
      <c r="F21" s="14" t="s">
        <v>171</v>
      </c>
      <c r="G21" s="10" t="s">
        <v>51</v>
      </c>
      <c r="H21" s="10" t="s">
        <v>80</v>
      </c>
      <c r="I21" s="10" t="s">
        <v>53</v>
      </c>
    </row>
    <row r="22" spans="1:29" ht="19.5" customHeight="1">
      <c r="A22" s="14">
        <f>IF(B22="","",ROWS($A$5:A22))</f>
        <v>18</v>
      </c>
      <c r="B22" s="14" t="s">
        <v>98</v>
      </c>
      <c r="C22" s="14" t="s">
        <v>58</v>
      </c>
      <c r="D22" s="14" t="s">
        <v>84</v>
      </c>
      <c r="E22" s="14" t="s">
        <v>49</v>
      </c>
      <c r="F22" s="14" t="s">
        <v>181</v>
      </c>
      <c r="G22" s="14" t="s">
        <v>51</v>
      </c>
      <c r="H22" s="14" t="s">
        <v>80</v>
      </c>
      <c r="I22" s="14" t="s">
        <v>53</v>
      </c>
    </row>
    <row r="23" spans="1:29" ht="19.5" customHeight="1">
      <c r="A23" s="14">
        <f>IF(B23="","",ROWS($A$5:A23))</f>
        <v>19</v>
      </c>
      <c r="B23" s="14" t="s">
        <v>99</v>
      </c>
      <c r="C23" s="14" t="s">
        <v>58</v>
      </c>
      <c r="D23" s="14" t="s">
        <v>84</v>
      </c>
      <c r="E23" s="14" t="s">
        <v>49</v>
      </c>
      <c r="F23" s="10" t="s">
        <v>182</v>
      </c>
      <c r="G23" s="14" t="s">
        <v>51</v>
      </c>
      <c r="H23" s="14" t="s">
        <v>80</v>
      </c>
      <c r="I23" s="14" t="s">
        <v>53</v>
      </c>
    </row>
    <row r="24" spans="1:29" ht="15" customHeight="1">
      <c r="A24" s="14" t="str">
        <f>IF(B24="","",ROWS($A$5:A24))</f>
        <v/>
      </c>
      <c r="B24" s="14"/>
      <c r="C24" s="5"/>
      <c r="D24" s="5"/>
      <c r="E24" s="5"/>
      <c r="F24" s="5"/>
      <c r="G24" s="5"/>
      <c r="H24" s="5"/>
      <c r="I24" s="5"/>
    </row>
    <row r="25" spans="1:29" ht="15" customHeight="1">
      <c r="A25" s="10" t="str">
        <f>IF(B25="","",ROWS($A$5:A25))</f>
        <v/>
      </c>
      <c r="B25" s="5"/>
      <c r="C25" s="5"/>
      <c r="D25" s="5"/>
      <c r="E25" s="5"/>
      <c r="F25" s="5"/>
      <c r="G25" s="5"/>
      <c r="H25" s="5"/>
      <c r="I25" s="5"/>
    </row>
    <row r="26" spans="1:29" ht="15" customHeight="1">
      <c r="A26" s="14" t="str">
        <f>IF(B26="","",ROWS($A$5:A26))</f>
        <v/>
      </c>
      <c r="B26" s="5"/>
      <c r="C26" s="5"/>
      <c r="D26" s="5"/>
      <c r="E26" s="5"/>
      <c r="F26" s="5"/>
      <c r="G26" s="5"/>
      <c r="H26" s="5"/>
      <c r="I26" s="5"/>
    </row>
    <row r="27" spans="1:29" ht="15" customHeight="1">
      <c r="A27" s="10" t="str">
        <f>IF(B27="","",ROWS($A$5:A27))</f>
        <v/>
      </c>
      <c r="B27" s="5"/>
      <c r="C27" s="5"/>
      <c r="D27" s="5"/>
      <c r="E27" s="5"/>
      <c r="F27" s="5"/>
      <c r="G27" s="5"/>
      <c r="H27" s="5"/>
      <c r="I27" s="5"/>
    </row>
    <row r="28" spans="1:29" ht="19.5" customHeight="1">
      <c r="A28" s="14" t="str">
        <f>IF(B28="","",ROWS($A$5:A28))</f>
        <v/>
      </c>
      <c r="B28" s="5"/>
      <c r="C28" s="5"/>
      <c r="D28" s="5"/>
      <c r="E28" s="5"/>
      <c r="F28" s="5"/>
      <c r="G28" s="5"/>
      <c r="H28" s="5"/>
      <c r="I28" s="5"/>
    </row>
    <row r="29" spans="1:29" ht="19.5" customHeight="1">
      <c r="A29" s="10" t="str">
        <f>IF(B29="","",ROWS($A$5:A29))</f>
        <v/>
      </c>
      <c r="B29" s="5"/>
      <c r="C29" s="5"/>
      <c r="D29" s="5"/>
      <c r="E29" s="5"/>
      <c r="F29" s="5"/>
      <c r="G29" s="5"/>
      <c r="H29" s="5"/>
      <c r="I29" s="5"/>
    </row>
    <row r="30" spans="1:29" ht="19.5" customHeight="1">
      <c r="A30" s="14" t="str">
        <f>IF(B30="","",ROWS($A$5:A30))</f>
        <v/>
      </c>
      <c r="B30" s="5"/>
      <c r="C30" s="5"/>
      <c r="D30" s="5"/>
      <c r="E30" s="5"/>
      <c r="F30" s="5"/>
      <c r="G30" s="5"/>
      <c r="H30" s="5"/>
      <c r="I30" s="5"/>
    </row>
    <row r="31" spans="1:29" ht="19.5" customHeight="1"/>
    <row r="32" spans="1:29" ht="19.5" customHeight="1"/>
    <row r="33" spans="1:1" ht="19.5" customHeight="1"/>
    <row r="34" spans="1:1" ht="19.5" customHeight="1"/>
    <row r="35" spans="1:1" ht="19.5" customHeight="1"/>
    <row r="36" spans="1:1" ht="19.5" customHeight="1">
      <c r="A36" s="7" t="str">
        <f>HYPERLINK("#'Dashboard &amp; Summary'!A1","Back DashBoard")</f>
        <v>Back DashBoard</v>
      </c>
    </row>
    <row r="37" spans="1:1" ht="19.5" customHeight="1"/>
    <row r="38" spans="1:1" ht="19.5" customHeight="1"/>
  </sheetData>
  <mergeCells count="4">
    <mergeCell ref="A1:AC1"/>
    <mergeCell ref="A3:I3"/>
    <mergeCell ref="K3:S3"/>
    <mergeCell ref="U3:AC3"/>
  </mergeCells>
  <phoneticPr fontId="13" type="noConversion"/>
  <pageMargins left="0.75" right="0.75" top="1" bottom="1" header="0.511811023622047" footer="0.511811023622047"/>
  <pageSetup orientation="portrait" horizontalDpi="300" verticalDpi="300" r:id="rId1"/>
  <ignoredErrors>
    <ignoredError sqref="C6:C22 M7:M15 W6:W1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I24"/>
  <sheetViews>
    <sheetView showGridLines="0" zoomScaleNormal="100" workbookViewId="0">
      <selection activeCell="D37" sqref="D37"/>
    </sheetView>
  </sheetViews>
  <sheetFormatPr defaultColWidth="8.7109375" defaultRowHeight="15"/>
  <cols>
    <col min="1" max="1" width="15.85546875" style="4" bestFit="1" customWidth="1"/>
    <col min="2" max="2" width="15.7109375" style="4" bestFit="1" customWidth="1"/>
    <col min="3" max="3" width="9.42578125" style="4" bestFit="1" customWidth="1"/>
    <col min="4" max="4" width="9.5703125" style="4" bestFit="1" customWidth="1"/>
    <col min="5" max="5" width="5.28515625" style="4" bestFit="1" customWidth="1"/>
    <col min="6" max="6" width="7.7109375" style="4" bestFit="1" customWidth="1"/>
    <col min="7" max="7" width="16.85546875" style="4" bestFit="1" customWidth="1"/>
    <col min="8" max="8" width="59.28515625" style="4" customWidth="1"/>
    <col min="9" max="9" width="8.42578125" style="4" bestFit="1" customWidth="1"/>
    <col min="10" max="16384" width="8.7109375" style="4"/>
  </cols>
  <sheetData>
    <row r="1" spans="1:9" ht="21">
      <c r="A1" s="26" t="s">
        <v>100</v>
      </c>
      <c r="B1" s="26"/>
      <c r="C1" s="26"/>
      <c r="D1" s="26"/>
      <c r="E1" s="26"/>
      <c r="F1" s="26"/>
      <c r="G1" s="26"/>
      <c r="H1" s="26"/>
      <c r="I1" s="26"/>
    </row>
    <row r="2" spans="1:9">
      <c r="A2" s="22"/>
      <c r="B2" s="22"/>
      <c r="C2" s="22"/>
      <c r="D2" s="22"/>
      <c r="E2" s="22"/>
      <c r="F2" s="22"/>
      <c r="G2" s="22"/>
      <c r="H2" s="22"/>
      <c r="I2" s="22"/>
    </row>
    <row r="3" spans="1:9" ht="15.75">
      <c r="A3" s="23" t="s">
        <v>101</v>
      </c>
      <c r="B3" s="23"/>
      <c r="C3" s="23"/>
      <c r="D3" s="23"/>
      <c r="E3" s="23"/>
      <c r="F3" s="23"/>
      <c r="G3" s="23"/>
      <c r="H3" s="23"/>
      <c r="I3" s="23"/>
    </row>
    <row r="4" spans="1:9">
      <c r="A4" s="13" t="s">
        <v>37</v>
      </c>
      <c r="B4" s="13" t="s">
        <v>38</v>
      </c>
      <c r="C4" s="13" t="s">
        <v>39</v>
      </c>
      <c r="D4" s="13" t="s">
        <v>40</v>
      </c>
      <c r="E4" s="13" t="s">
        <v>41</v>
      </c>
      <c r="F4" s="13" t="s">
        <v>42</v>
      </c>
      <c r="G4" s="13" t="s">
        <v>43</v>
      </c>
      <c r="H4" s="13" t="s">
        <v>102</v>
      </c>
      <c r="I4" s="13" t="s">
        <v>45</v>
      </c>
    </row>
    <row r="5" spans="1:9">
      <c r="A5" s="10">
        <f>IF(B5="","",ROWS($A$5:A5))</f>
        <v>1</v>
      </c>
      <c r="B5" s="10" t="s">
        <v>103</v>
      </c>
      <c r="C5" s="10" t="s">
        <v>104</v>
      </c>
      <c r="D5" s="10" t="s">
        <v>48</v>
      </c>
      <c r="E5" s="10" t="s">
        <v>49</v>
      </c>
      <c r="F5" s="10" t="s">
        <v>59</v>
      </c>
      <c r="G5" s="10" t="s">
        <v>51</v>
      </c>
      <c r="H5" s="10" t="s">
        <v>178</v>
      </c>
      <c r="I5" s="10" t="s">
        <v>53</v>
      </c>
    </row>
    <row r="6" spans="1:9">
      <c r="A6" s="14">
        <f>IF(B6="","",ROWS($A$5:A6))</f>
        <v>2</v>
      </c>
      <c r="B6" s="14" t="s">
        <v>105</v>
      </c>
      <c r="C6" s="14">
        <v>12345</v>
      </c>
      <c r="D6" s="14" t="s">
        <v>106</v>
      </c>
      <c r="E6" s="14" t="s">
        <v>49</v>
      </c>
      <c r="F6" s="14" t="s">
        <v>59</v>
      </c>
      <c r="G6" s="14" t="s">
        <v>51</v>
      </c>
      <c r="H6" s="14" t="s">
        <v>107</v>
      </c>
      <c r="I6" s="14" t="s">
        <v>53</v>
      </c>
    </row>
    <row r="7" spans="1:9">
      <c r="A7" s="10">
        <f>IF(B7="","",ROWS($A$5:A7))</f>
        <v>3</v>
      </c>
      <c r="B7" s="10" t="s">
        <v>108</v>
      </c>
      <c r="C7" s="10" t="s">
        <v>58</v>
      </c>
      <c r="D7" s="10" t="s">
        <v>106</v>
      </c>
      <c r="E7" s="10" t="s">
        <v>49</v>
      </c>
      <c r="F7" s="10" t="s">
        <v>50</v>
      </c>
      <c r="G7" s="10" t="s">
        <v>51</v>
      </c>
      <c r="H7" s="10" t="s">
        <v>107</v>
      </c>
      <c r="I7" s="10" t="s">
        <v>53</v>
      </c>
    </row>
    <row r="8" spans="1:9">
      <c r="A8" s="14">
        <f>IF(B8="","",ROWS($A$5:A8))</f>
        <v>4</v>
      </c>
      <c r="B8" s="14" t="s">
        <v>109</v>
      </c>
      <c r="C8" s="14" t="s">
        <v>58</v>
      </c>
      <c r="D8" s="14" t="s">
        <v>106</v>
      </c>
      <c r="E8" s="14" t="s">
        <v>49</v>
      </c>
      <c r="F8" s="14" t="s">
        <v>50</v>
      </c>
      <c r="G8" s="14" t="s">
        <v>51</v>
      </c>
      <c r="H8" s="14" t="s">
        <v>107</v>
      </c>
      <c r="I8" s="14" t="s">
        <v>53</v>
      </c>
    </row>
    <row r="9" spans="1:9">
      <c r="A9" s="10" t="str">
        <f>IF(B9="","",ROWS($A$5:A9))</f>
        <v/>
      </c>
      <c r="B9" s="5"/>
      <c r="C9" s="5"/>
      <c r="D9" s="5"/>
      <c r="E9" s="5"/>
      <c r="F9" s="5"/>
      <c r="G9" s="5"/>
      <c r="H9" s="5"/>
      <c r="I9" s="5"/>
    </row>
    <row r="10" spans="1:9">
      <c r="A10" s="14" t="str">
        <f>IF(B10="","",ROWS($A$5:A10))</f>
        <v/>
      </c>
      <c r="B10" s="5"/>
      <c r="C10" s="5"/>
      <c r="D10" s="5"/>
      <c r="E10" s="5"/>
      <c r="F10" s="5"/>
      <c r="G10" s="5"/>
      <c r="H10" s="5"/>
      <c r="I10" s="5"/>
    </row>
    <row r="11" spans="1:9">
      <c r="A11" s="10" t="str">
        <f>IF(B11="","",ROWS($A$5:A11))</f>
        <v/>
      </c>
      <c r="B11" s="5"/>
      <c r="C11" s="5"/>
      <c r="D11" s="5"/>
      <c r="E11" s="5"/>
      <c r="F11" s="5"/>
      <c r="G11" s="5"/>
      <c r="H11" s="5"/>
      <c r="I11" s="5"/>
    </row>
    <row r="12" spans="1:9">
      <c r="A12" s="14" t="str">
        <f>IF(B12="","",ROWS($A$5:A12))</f>
        <v/>
      </c>
      <c r="B12" s="5"/>
      <c r="C12" s="5"/>
      <c r="D12" s="5"/>
      <c r="E12" s="5"/>
      <c r="F12" s="5"/>
      <c r="G12" s="5"/>
      <c r="H12" s="5"/>
      <c r="I12" s="5"/>
    </row>
    <row r="13" spans="1:9">
      <c r="A13" s="10" t="str">
        <f>IF(B13="","",ROWS($A$5:A13))</f>
        <v/>
      </c>
      <c r="B13" s="5"/>
      <c r="C13" s="5"/>
      <c r="D13" s="5"/>
      <c r="E13" s="5"/>
      <c r="F13" s="5"/>
      <c r="G13" s="5"/>
      <c r="H13" s="5"/>
      <c r="I13" s="5"/>
    </row>
    <row r="14" spans="1:9">
      <c r="A14" s="14" t="str">
        <f>IF(B14="","",ROWS($A$5:A14))</f>
        <v/>
      </c>
      <c r="B14" s="5"/>
      <c r="C14" s="5"/>
      <c r="D14" s="5"/>
      <c r="E14" s="5"/>
      <c r="F14" s="5"/>
      <c r="G14" s="5"/>
      <c r="H14" s="5"/>
      <c r="I14" s="5"/>
    </row>
    <row r="15" spans="1:9">
      <c r="A15" s="10" t="str">
        <f>IF(B15="","",ROWS($A$5:A15))</f>
        <v/>
      </c>
      <c r="B15" s="5"/>
      <c r="C15" s="5"/>
      <c r="D15" s="5"/>
      <c r="E15" s="5"/>
      <c r="F15" s="5"/>
      <c r="G15" s="5"/>
      <c r="H15" s="5"/>
      <c r="I15" s="5"/>
    </row>
    <row r="16" spans="1:9">
      <c r="A16" s="14" t="str">
        <f>IF(B16="","",ROWS($A$5:A16))</f>
        <v/>
      </c>
      <c r="B16" s="5"/>
      <c r="C16" s="5"/>
      <c r="D16" s="5"/>
      <c r="E16" s="5"/>
      <c r="F16" s="5"/>
      <c r="G16" s="5"/>
      <c r="H16" s="5"/>
      <c r="I16" s="5"/>
    </row>
    <row r="17" spans="1:9">
      <c r="A17" s="5"/>
      <c r="B17" s="5"/>
      <c r="C17" s="5"/>
      <c r="D17" s="5"/>
      <c r="E17" s="5"/>
      <c r="F17" s="5"/>
      <c r="G17" s="5"/>
      <c r="H17" s="5"/>
      <c r="I17" s="5"/>
    </row>
    <row r="18" spans="1:9">
      <c r="A18" s="5"/>
      <c r="B18" s="5"/>
      <c r="C18" s="5"/>
      <c r="D18" s="5"/>
      <c r="E18" s="5"/>
      <c r="F18" s="5"/>
      <c r="G18" s="5"/>
      <c r="H18" s="5"/>
      <c r="I18" s="5"/>
    </row>
    <row r="19" spans="1:9">
      <c r="A19" s="5"/>
      <c r="B19" s="5"/>
      <c r="C19" s="5"/>
      <c r="D19" s="5"/>
      <c r="E19" s="5"/>
      <c r="F19" s="5"/>
      <c r="G19" s="5"/>
      <c r="H19" s="5"/>
      <c r="I19" s="5"/>
    </row>
    <row r="24" spans="1:9">
      <c r="A24" s="7" t="str">
        <f>HYPERLINK("#'Dashboard &amp; Summary'!A1","Back DashBoard")</f>
        <v>Back DashBoard</v>
      </c>
    </row>
  </sheetData>
  <mergeCells count="3">
    <mergeCell ref="A1:I1"/>
    <mergeCell ref="A2:I2"/>
    <mergeCell ref="A3:I3"/>
  </mergeCells>
  <pageMargins left="0.75" right="0.75" top="1" bottom="1" header="0.511811023622047" footer="0.511811023622047"/>
  <pageSetup paperSize="9" orientation="portrait" horizontalDpi="300" verticalDpi="300"/>
  <ignoredErrors>
    <ignoredError sqref="C7:C10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2060"/>
  </sheetPr>
  <dimension ref="A1:K59"/>
  <sheetViews>
    <sheetView showGridLines="0" tabSelected="1" zoomScale="98" zoomScaleNormal="98" workbookViewId="0">
      <pane ySplit="4" topLeftCell="A5" activePane="bottomLeft" state="frozen"/>
      <selection pane="bottomLeft" activeCell="G28" sqref="G28"/>
    </sheetView>
  </sheetViews>
  <sheetFormatPr defaultColWidth="8.7109375" defaultRowHeight="15"/>
  <cols>
    <col min="1" max="1" width="5.140625" style="4" bestFit="1" customWidth="1"/>
    <col min="2" max="2" width="14.85546875" style="4" bestFit="1" customWidth="1"/>
    <col min="3" max="3" width="15.140625" style="4" bestFit="1" customWidth="1"/>
    <col min="4" max="4" width="5.7109375" style="4" bestFit="1" customWidth="1"/>
    <col min="5" max="5" width="51.42578125" style="4" bestFit="1" customWidth="1"/>
    <col min="6" max="6" width="30.5703125" style="4" bestFit="1" customWidth="1"/>
    <col min="7" max="7" width="18.5703125" style="4" bestFit="1" customWidth="1"/>
    <col min="8" max="8" width="4.28515625" style="4" bestFit="1" customWidth="1"/>
    <col min="9" max="9" width="11.28515625" style="4" bestFit="1" customWidth="1"/>
    <col min="10" max="10" width="9.140625" style="4" bestFit="1" customWidth="1"/>
    <col min="11" max="11" width="12.7109375" style="4" bestFit="1" customWidth="1"/>
    <col min="12" max="16384" width="8.7109375" style="4"/>
  </cols>
  <sheetData>
    <row r="1" spans="1:11" ht="21">
      <c r="A1" s="21" t="s">
        <v>110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2" spans="1:11">
      <c r="A2" s="5"/>
      <c r="B2" s="27"/>
      <c r="C2" s="28"/>
      <c r="D2" s="28"/>
      <c r="E2" s="28"/>
      <c r="F2" s="28"/>
      <c r="G2" s="28"/>
      <c r="H2" s="28"/>
      <c r="I2" s="28"/>
      <c r="J2" s="28"/>
      <c r="K2" s="29"/>
    </row>
    <row r="3" spans="1:11" ht="15.75">
      <c r="A3" s="23" t="s">
        <v>111</v>
      </c>
      <c r="B3" s="23"/>
      <c r="C3" s="23"/>
      <c r="D3" s="23"/>
      <c r="E3" s="23"/>
      <c r="F3" s="23"/>
      <c r="G3" s="23"/>
      <c r="H3" s="23"/>
      <c r="I3" s="23"/>
      <c r="J3" s="23"/>
      <c r="K3" s="23"/>
    </row>
    <row r="4" spans="1:11">
      <c r="A4" s="13" t="s">
        <v>37</v>
      </c>
      <c r="B4" s="13" t="s">
        <v>112</v>
      </c>
      <c r="C4" s="13" t="s">
        <v>113</v>
      </c>
      <c r="D4" s="13" t="s">
        <v>114</v>
      </c>
      <c r="E4" s="13" t="s">
        <v>115</v>
      </c>
      <c r="F4" s="13" t="s">
        <v>116</v>
      </c>
      <c r="G4" s="13" t="s">
        <v>117</v>
      </c>
      <c r="H4" s="13" t="s">
        <v>118</v>
      </c>
      <c r="I4" s="13" t="s">
        <v>119</v>
      </c>
      <c r="J4" s="13" t="s">
        <v>45</v>
      </c>
      <c r="K4" s="13" t="s">
        <v>120</v>
      </c>
    </row>
    <row r="5" spans="1:11" ht="30.75" customHeight="1">
      <c r="A5" s="10">
        <f>IF(B5="","",ROWS($A$5:A5))</f>
        <v>1</v>
      </c>
      <c r="B5" s="17">
        <v>46235</v>
      </c>
      <c r="C5" s="10" t="s">
        <v>90</v>
      </c>
      <c r="D5" s="10" t="s">
        <v>121</v>
      </c>
      <c r="E5" s="19" t="s">
        <v>187</v>
      </c>
      <c r="F5" s="4" t="s">
        <v>137</v>
      </c>
      <c r="G5" s="10" t="s">
        <v>137</v>
      </c>
      <c r="H5" s="10">
        <v>1</v>
      </c>
      <c r="I5" s="17">
        <v>46235</v>
      </c>
      <c r="J5" s="16" t="s">
        <v>122</v>
      </c>
      <c r="K5" s="10" t="s">
        <v>123</v>
      </c>
    </row>
    <row r="6" spans="1:11">
      <c r="A6" s="10">
        <f>IF(B6="","",ROWS($A$5:A6))</f>
        <v>2</v>
      </c>
      <c r="B6" s="17">
        <v>46237</v>
      </c>
      <c r="C6" s="10" t="s">
        <v>79</v>
      </c>
      <c r="D6" s="14" t="s">
        <v>188</v>
      </c>
      <c r="E6" s="20" t="s">
        <v>189</v>
      </c>
      <c r="F6" s="14" t="s">
        <v>136</v>
      </c>
      <c r="G6" s="14" t="s">
        <v>190</v>
      </c>
      <c r="H6" s="14">
        <v>1</v>
      </c>
      <c r="I6" s="17">
        <v>46237</v>
      </c>
      <c r="J6" s="16" t="s">
        <v>122</v>
      </c>
      <c r="K6" s="10" t="s">
        <v>123</v>
      </c>
    </row>
    <row r="7" spans="1:11">
      <c r="A7" s="10">
        <f>IF(B7="","",ROWS($A$5:A7))</f>
        <v>3</v>
      </c>
      <c r="B7" s="17">
        <v>46239</v>
      </c>
      <c r="C7" s="10" t="s">
        <v>93</v>
      </c>
      <c r="D7" s="10" t="s">
        <v>121</v>
      </c>
      <c r="E7" s="10" t="s">
        <v>191</v>
      </c>
      <c r="F7" s="10" t="s">
        <v>192</v>
      </c>
      <c r="G7" s="10" t="s">
        <v>193</v>
      </c>
      <c r="H7" s="14">
        <v>1</v>
      </c>
      <c r="I7" s="17">
        <v>46239</v>
      </c>
      <c r="J7" s="16" t="s">
        <v>122</v>
      </c>
      <c r="K7" s="10" t="s">
        <v>123</v>
      </c>
    </row>
    <row r="8" spans="1:11">
      <c r="A8" s="10">
        <f>IF(B8="","",ROWS($A$5:A8))</f>
        <v>4</v>
      </c>
      <c r="B8" s="17">
        <v>46241</v>
      </c>
      <c r="C8" s="10" t="s">
        <v>96</v>
      </c>
      <c r="D8" s="10" t="s">
        <v>121</v>
      </c>
      <c r="E8" s="14" t="s">
        <v>187</v>
      </c>
      <c r="F8" s="4" t="s">
        <v>137</v>
      </c>
      <c r="G8" s="10" t="s">
        <v>137</v>
      </c>
      <c r="H8" s="14">
        <v>1</v>
      </c>
      <c r="I8" s="17">
        <v>46241</v>
      </c>
      <c r="J8" s="16" t="s">
        <v>122</v>
      </c>
      <c r="K8" s="10" t="s">
        <v>123</v>
      </c>
    </row>
    <row r="9" spans="1:11">
      <c r="A9" s="10">
        <f>IF(B9="","",ROWS($A$5:A9))</f>
        <v>5</v>
      </c>
      <c r="B9" s="17">
        <v>46242</v>
      </c>
      <c r="C9" s="10" t="s">
        <v>87</v>
      </c>
      <c r="D9" s="10" t="s">
        <v>194</v>
      </c>
      <c r="E9" s="14" t="s">
        <v>187</v>
      </c>
      <c r="F9" s="4" t="s">
        <v>137</v>
      </c>
      <c r="G9" s="10" t="s">
        <v>137</v>
      </c>
      <c r="H9" s="14">
        <v>1</v>
      </c>
      <c r="I9" s="17">
        <v>46242</v>
      </c>
      <c r="J9" s="16" t="s">
        <v>122</v>
      </c>
      <c r="K9" s="10" t="s">
        <v>123</v>
      </c>
    </row>
    <row r="10" spans="1:11">
      <c r="A10" s="10">
        <f>IF(B10="","",ROWS($A$5:A10))</f>
        <v>6</v>
      </c>
      <c r="B10" s="17">
        <v>46242</v>
      </c>
      <c r="C10" s="10" t="s">
        <v>89</v>
      </c>
      <c r="D10" s="10" t="s">
        <v>194</v>
      </c>
      <c r="E10" s="14" t="s">
        <v>187</v>
      </c>
      <c r="F10" s="4" t="s">
        <v>137</v>
      </c>
      <c r="G10" s="10" t="s">
        <v>137</v>
      </c>
      <c r="H10" s="14">
        <v>1</v>
      </c>
      <c r="I10" s="17">
        <v>46242</v>
      </c>
      <c r="J10" s="16" t="s">
        <v>122</v>
      </c>
      <c r="K10" s="10" t="s">
        <v>123</v>
      </c>
    </row>
    <row r="11" spans="1:11">
      <c r="A11" s="10">
        <f>IF(B11="","",ROWS($A$5:A11))</f>
        <v>7</v>
      </c>
      <c r="B11" s="17">
        <v>46245</v>
      </c>
      <c r="C11" s="10" t="s">
        <v>68</v>
      </c>
      <c r="D11" s="10" t="s">
        <v>121</v>
      </c>
      <c r="E11" s="10" t="s">
        <v>195</v>
      </c>
      <c r="F11" s="10" t="s">
        <v>196</v>
      </c>
      <c r="G11" s="10" t="s">
        <v>197</v>
      </c>
      <c r="H11" s="10">
        <v>1</v>
      </c>
      <c r="I11" s="17">
        <v>46245</v>
      </c>
      <c r="J11" s="16" t="s">
        <v>122</v>
      </c>
      <c r="K11" s="10" t="s">
        <v>123</v>
      </c>
    </row>
    <row r="12" spans="1:11">
      <c r="A12" s="10">
        <f>IF(B12="","",ROWS($A$5:A12))</f>
        <v>8</v>
      </c>
      <c r="B12" s="17">
        <v>46249</v>
      </c>
      <c r="C12" s="10" t="s">
        <v>91</v>
      </c>
      <c r="D12" s="10" t="s">
        <v>194</v>
      </c>
      <c r="E12" s="14" t="s">
        <v>187</v>
      </c>
      <c r="F12" s="4" t="s">
        <v>137</v>
      </c>
      <c r="G12" s="10" t="s">
        <v>137</v>
      </c>
      <c r="H12" s="10">
        <v>1</v>
      </c>
      <c r="I12" s="17">
        <v>46249</v>
      </c>
      <c r="J12" s="16" t="s">
        <v>122</v>
      </c>
      <c r="K12" s="10" t="s">
        <v>123</v>
      </c>
    </row>
    <row r="13" spans="1:11">
      <c r="A13" s="10">
        <f>IF(B13="","",ROWS($A$5:A13))</f>
        <v>9</v>
      </c>
      <c r="B13" s="17">
        <v>46252</v>
      </c>
      <c r="C13" s="10" t="s">
        <v>85</v>
      </c>
      <c r="D13" s="10" t="s">
        <v>194</v>
      </c>
      <c r="E13" s="14" t="s">
        <v>187</v>
      </c>
      <c r="F13" s="4" t="s">
        <v>137</v>
      </c>
      <c r="G13" s="10" t="s">
        <v>137</v>
      </c>
      <c r="H13" s="10">
        <v>1</v>
      </c>
      <c r="I13" s="17">
        <v>46252</v>
      </c>
      <c r="J13" s="16" t="s">
        <v>122</v>
      </c>
      <c r="K13" s="10" t="s">
        <v>123</v>
      </c>
    </row>
    <row r="14" spans="1:11">
      <c r="A14" s="10">
        <f>IF(B14="","",ROWS($A$5:A14))</f>
        <v>10</v>
      </c>
      <c r="B14" s="17">
        <v>46252</v>
      </c>
      <c r="C14" s="10" t="s">
        <v>88</v>
      </c>
      <c r="D14" s="10" t="s">
        <v>121</v>
      </c>
      <c r="E14" s="10" t="s">
        <v>191</v>
      </c>
      <c r="F14" s="10" t="s">
        <v>192</v>
      </c>
      <c r="G14" s="10" t="s">
        <v>193</v>
      </c>
      <c r="H14" s="10">
        <v>1</v>
      </c>
      <c r="I14" s="17">
        <v>46252</v>
      </c>
      <c r="J14" s="16" t="s">
        <v>122</v>
      </c>
      <c r="K14" s="10" t="s">
        <v>123</v>
      </c>
    </row>
    <row r="15" spans="1:11">
      <c r="A15" s="10">
        <f>IF(B15="","",ROWS($A$5:A15))</f>
        <v>11</v>
      </c>
      <c r="B15" s="17">
        <v>46254</v>
      </c>
      <c r="C15" s="10" t="s">
        <v>81</v>
      </c>
      <c r="D15" s="10" t="s">
        <v>194</v>
      </c>
      <c r="E15" s="14" t="s">
        <v>187</v>
      </c>
      <c r="F15" s="4" t="s">
        <v>137</v>
      </c>
      <c r="G15" s="10" t="s">
        <v>137</v>
      </c>
      <c r="H15" s="10">
        <v>2</v>
      </c>
      <c r="I15" s="17">
        <v>46254</v>
      </c>
      <c r="J15" s="16" t="s">
        <v>122</v>
      </c>
      <c r="K15" s="10" t="s">
        <v>123</v>
      </c>
    </row>
    <row r="16" spans="1:11">
      <c r="A16" s="10">
        <f>IF(B16="","",ROWS($A$5:A16))</f>
        <v>12</v>
      </c>
      <c r="B16" s="17">
        <v>46257</v>
      </c>
      <c r="C16" s="10" t="s">
        <v>96</v>
      </c>
      <c r="D16" s="10" t="s">
        <v>121</v>
      </c>
      <c r="E16" s="5" t="s">
        <v>205</v>
      </c>
      <c r="F16" s="10" t="s">
        <v>206</v>
      </c>
      <c r="G16" s="14" t="s">
        <v>207</v>
      </c>
      <c r="H16" s="5">
        <v>1</v>
      </c>
      <c r="I16" s="17">
        <v>46257</v>
      </c>
      <c r="J16" s="16" t="s">
        <v>122</v>
      </c>
      <c r="K16" s="10" t="s">
        <v>123</v>
      </c>
    </row>
    <row r="17" spans="1:11">
      <c r="A17" s="10">
        <f>IF(B17="","",ROWS($A$5:A17))</f>
        <v>13</v>
      </c>
      <c r="B17" s="17">
        <v>46254</v>
      </c>
      <c r="C17" s="10" t="s">
        <v>88</v>
      </c>
      <c r="D17" s="10" t="s">
        <v>121</v>
      </c>
      <c r="E17" s="5" t="s">
        <v>208</v>
      </c>
      <c r="F17" s="5" t="s">
        <v>209</v>
      </c>
      <c r="G17" s="14" t="s">
        <v>197</v>
      </c>
      <c r="H17" s="5">
        <v>1</v>
      </c>
      <c r="I17" s="17">
        <v>46254</v>
      </c>
      <c r="J17" s="16" t="s">
        <v>122</v>
      </c>
      <c r="K17" s="10" t="s">
        <v>123</v>
      </c>
    </row>
    <row r="18" spans="1:11">
      <c r="A18" s="10" t="str">
        <f>IF(B18="","",ROWS($A$5:A18))</f>
        <v/>
      </c>
      <c r="B18" s="17"/>
      <c r="C18" s="14"/>
      <c r="D18" s="5"/>
      <c r="E18" s="5"/>
      <c r="F18" s="5"/>
      <c r="G18" s="5"/>
      <c r="H18" s="5"/>
      <c r="I18" s="17"/>
      <c r="J18" s="16"/>
      <c r="K18" s="10"/>
    </row>
    <row r="19" spans="1:11" ht="21">
      <c r="A19" s="21" t="s">
        <v>212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</row>
    <row r="20" spans="1:11">
      <c r="A20" s="10">
        <v>1</v>
      </c>
      <c r="B20" s="17" t="s">
        <v>218</v>
      </c>
      <c r="C20" s="10" t="s">
        <v>57</v>
      </c>
      <c r="D20" s="10" t="s">
        <v>121</v>
      </c>
      <c r="E20" s="14" t="s">
        <v>219</v>
      </c>
      <c r="F20" s="10" t="s">
        <v>135</v>
      </c>
      <c r="G20" s="10" t="s">
        <v>220</v>
      </c>
      <c r="H20" s="14">
        <v>1</v>
      </c>
      <c r="I20" s="17" t="s">
        <v>218</v>
      </c>
      <c r="J20" s="16" t="s">
        <v>122</v>
      </c>
      <c r="K20" s="10" t="s">
        <v>123</v>
      </c>
    </row>
    <row r="21" spans="1:11">
      <c r="A21" s="10">
        <v>2</v>
      </c>
      <c r="B21" s="17" t="s">
        <v>221</v>
      </c>
      <c r="C21" s="10" t="s">
        <v>85</v>
      </c>
      <c r="D21" s="10" t="s">
        <v>194</v>
      </c>
      <c r="E21" s="14" t="s">
        <v>210</v>
      </c>
      <c r="F21" s="10" t="s">
        <v>211</v>
      </c>
      <c r="G21" s="10" t="s">
        <v>144</v>
      </c>
      <c r="H21" s="14">
        <v>1</v>
      </c>
      <c r="I21" s="17" t="s">
        <v>221</v>
      </c>
      <c r="J21" s="16" t="s">
        <v>122</v>
      </c>
      <c r="K21" s="10" t="s">
        <v>123</v>
      </c>
    </row>
    <row r="22" spans="1:11">
      <c r="A22" s="10">
        <v>3</v>
      </c>
      <c r="B22" s="17" t="s">
        <v>222</v>
      </c>
      <c r="C22" s="10" t="s">
        <v>94</v>
      </c>
      <c r="D22" s="10" t="s">
        <v>121</v>
      </c>
      <c r="E22" s="14" t="s">
        <v>223</v>
      </c>
      <c r="F22" s="10" t="s">
        <v>224</v>
      </c>
      <c r="G22" s="10" t="s">
        <v>225</v>
      </c>
      <c r="H22" s="14">
        <v>1</v>
      </c>
      <c r="I22" s="17" t="s">
        <v>226</v>
      </c>
      <c r="J22" s="16" t="s">
        <v>122</v>
      </c>
      <c r="K22" s="10" t="s">
        <v>123</v>
      </c>
    </row>
    <row r="23" spans="1:11">
      <c r="A23" s="10">
        <v>4</v>
      </c>
      <c r="B23" s="17" t="s">
        <v>227</v>
      </c>
      <c r="C23" s="10" t="s">
        <v>90</v>
      </c>
      <c r="D23" s="10" t="s">
        <v>121</v>
      </c>
      <c r="E23" s="14" t="s">
        <v>187</v>
      </c>
      <c r="F23" s="10" t="s">
        <v>137</v>
      </c>
      <c r="G23" s="10" t="s">
        <v>228</v>
      </c>
      <c r="H23" s="14">
        <v>1</v>
      </c>
      <c r="I23" s="17" t="s">
        <v>229</v>
      </c>
      <c r="J23" s="16" t="s">
        <v>122</v>
      </c>
      <c r="K23" s="10" t="s">
        <v>123</v>
      </c>
    </row>
    <row r="24" spans="1:11">
      <c r="A24" s="10">
        <v>5</v>
      </c>
      <c r="B24" s="17" t="s">
        <v>226</v>
      </c>
      <c r="C24" s="10" t="s">
        <v>92</v>
      </c>
      <c r="D24" s="10" t="s">
        <v>121</v>
      </c>
      <c r="E24" s="14" t="s">
        <v>230</v>
      </c>
      <c r="F24" s="10" t="s">
        <v>216</v>
      </c>
      <c r="G24" s="10" t="s">
        <v>231</v>
      </c>
      <c r="H24" s="14">
        <v>1</v>
      </c>
      <c r="I24" s="17" t="s">
        <v>226</v>
      </c>
      <c r="J24" s="16" t="s">
        <v>122</v>
      </c>
      <c r="K24" s="10" t="s">
        <v>123</v>
      </c>
    </row>
    <row r="25" spans="1:11">
      <c r="A25" s="10">
        <v>7</v>
      </c>
      <c r="B25" s="17" t="s">
        <v>232</v>
      </c>
      <c r="C25" s="10" t="s">
        <v>72</v>
      </c>
      <c r="D25" s="10" t="s">
        <v>194</v>
      </c>
      <c r="E25" s="14" t="s">
        <v>233</v>
      </c>
      <c r="F25" s="10" t="s">
        <v>234</v>
      </c>
      <c r="G25" s="10" t="s">
        <v>235</v>
      </c>
      <c r="H25" s="14">
        <v>1</v>
      </c>
      <c r="I25" s="17" t="s">
        <v>232</v>
      </c>
      <c r="J25" s="16" t="s">
        <v>122</v>
      </c>
      <c r="K25" s="10" t="s">
        <v>123</v>
      </c>
    </row>
    <row r="26" spans="1:11">
      <c r="A26" s="10">
        <v>8</v>
      </c>
      <c r="B26" s="17" t="s">
        <v>229</v>
      </c>
      <c r="C26" s="10" t="s">
        <v>96</v>
      </c>
      <c r="D26" s="10" t="s">
        <v>121</v>
      </c>
      <c r="E26" s="14" t="s">
        <v>236</v>
      </c>
      <c r="F26" s="10" t="s">
        <v>136</v>
      </c>
      <c r="G26" s="10" t="s">
        <v>237</v>
      </c>
      <c r="H26" s="14">
        <v>1</v>
      </c>
      <c r="I26" s="17" t="s">
        <v>238</v>
      </c>
      <c r="J26" s="16" t="s">
        <v>122</v>
      </c>
      <c r="K26" s="10" t="s">
        <v>123</v>
      </c>
    </row>
    <row r="27" spans="1:11">
      <c r="A27" s="10">
        <v>9</v>
      </c>
      <c r="B27" s="17" t="s">
        <v>239</v>
      </c>
      <c r="C27" s="10" t="s">
        <v>65</v>
      </c>
      <c r="D27" s="10" t="s">
        <v>121</v>
      </c>
      <c r="E27" s="14" t="s">
        <v>240</v>
      </c>
      <c r="F27" s="10" t="s">
        <v>136</v>
      </c>
      <c r="G27" s="10" t="s">
        <v>237</v>
      </c>
      <c r="H27" s="14">
        <v>1</v>
      </c>
      <c r="I27" s="17" t="s">
        <v>238</v>
      </c>
      <c r="J27" s="16" t="s">
        <v>122</v>
      </c>
      <c r="K27" s="10" t="s">
        <v>123</v>
      </c>
    </row>
    <row r="28" spans="1:11">
      <c r="A28" s="10">
        <v>10</v>
      </c>
      <c r="B28" s="17" t="s">
        <v>241</v>
      </c>
      <c r="C28" s="10" t="s">
        <v>79</v>
      </c>
      <c r="D28" s="10" t="s">
        <v>194</v>
      </c>
      <c r="E28" s="14" t="s">
        <v>242</v>
      </c>
      <c r="F28" s="10" t="s">
        <v>162</v>
      </c>
      <c r="G28" s="10" t="s">
        <v>243</v>
      </c>
      <c r="H28" s="14">
        <v>1</v>
      </c>
      <c r="I28" s="17" t="s">
        <v>241</v>
      </c>
      <c r="J28" s="16" t="s">
        <v>122</v>
      </c>
      <c r="K28" s="10" t="s">
        <v>123</v>
      </c>
    </row>
    <row r="29" spans="1:11">
      <c r="A29" s="10">
        <v>11</v>
      </c>
      <c r="B29" s="17" t="s">
        <v>244</v>
      </c>
      <c r="C29" s="10" t="s">
        <v>86</v>
      </c>
      <c r="D29" s="10" t="s">
        <v>121</v>
      </c>
      <c r="E29" s="14" t="s">
        <v>245</v>
      </c>
      <c r="F29" s="10" t="s">
        <v>135</v>
      </c>
      <c r="G29" s="10" t="s">
        <v>220</v>
      </c>
      <c r="H29" s="14">
        <v>1</v>
      </c>
      <c r="I29" s="17" t="s">
        <v>244</v>
      </c>
      <c r="J29" s="16" t="s">
        <v>122</v>
      </c>
      <c r="K29" s="10" t="s">
        <v>123</v>
      </c>
    </row>
    <row r="30" spans="1:11">
      <c r="A30" s="10">
        <v>12</v>
      </c>
      <c r="B30" s="17" t="s">
        <v>246</v>
      </c>
      <c r="C30" s="10" t="s">
        <v>68</v>
      </c>
      <c r="D30" s="10" t="s">
        <v>194</v>
      </c>
      <c r="E30" s="14" t="s">
        <v>247</v>
      </c>
      <c r="F30" s="10" t="s">
        <v>248</v>
      </c>
      <c r="G30" s="10" t="s">
        <v>249</v>
      </c>
      <c r="H30" s="14">
        <v>1</v>
      </c>
      <c r="I30" s="17" t="s">
        <v>246</v>
      </c>
      <c r="J30" s="16" t="s">
        <v>122</v>
      </c>
      <c r="K30" s="10" t="s">
        <v>123</v>
      </c>
    </row>
    <row r="31" spans="1:11">
      <c r="A31" s="10">
        <v>13</v>
      </c>
      <c r="B31" s="17" t="s">
        <v>238</v>
      </c>
      <c r="C31" s="10" t="s">
        <v>217</v>
      </c>
      <c r="D31" s="10" t="s">
        <v>121</v>
      </c>
      <c r="E31" s="14" t="s">
        <v>250</v>
      </c>
      <c r="F31" s="10" t="s">
        <v>251</v>
      </c>
      <c r="G31" s="10" t="s">
        <v>252</v>
      </c>
      <c r="H31" s="14">
        <v>1</v>
      </c>
      <c r="I31" s="17" t="s">
        <v>238</v>
      </c>
      <c r="J31" s="16" t="s">
        <v>122</v>
      </c>
      <c r="K31" s="10" t="s">
        <v>123</v>
      </c>
    </row>
    <row r="32" spans="1:11">
      <c r="A32" s="10">
        <v>14</v>
      </c>
      <c r="B32" s="17" t="s">
        <v>253</v>
      </c>
      <c r="C32" s="10" t="s">
        <v>81</v>
      </c>
      <c r="D32" s="10" t="s">
        <v>121</v>
      </c>
      <c r="E32" s="14" t="s">
        <v>254</v>
      </c>
      <c r="F32" s="10" t="s">
        <v>255</v>
      </c>
      <c r="G32" s="10" t="s">
        <v>256</v>
      </c>
      <c r="H32" s="14">
        <v>1</v>
      </c>
      <c r="I32" s="17" t="s">
        <v>253</v>
      </c>
      <c r="J32" s="16" t="s">
        <v>122</v>
      </c>
      <c r="K32" s="10" t="s">
        <v>123</v>
      </c>
    </row>
    <row r="33" spans="1:11">
      <c r="A33" s="10">
        <v>15</v>
      </c>
      <c r="B33" s="17" t="s">
        <v>257</v>
      </c>
      <c r="C33" s="10" t="s">
        <v>89</v>
      </c>
      <c r="D33" s="10" t="s">
        <v>194</v>
      </c>
      <c r="E33" s="14" t="s">
        <v>258</v>
      </c>
      <c r="F33" s="10" t="s">
        <v>259</v>
      </c>
      <c r="G33" s="10" t="s">
        <v>260</v>
      </c>
      <c r="H33" s="14">
        <v>1</v>
      </c>
      <c r="I33" s="17" t="s">
        <v>257</v>
      </c>
      <c r="J33" s="16" t="s">
        <v>122</v>
      </c>
      <c r="K33" s="10" t="s">
        <v>123</v>
      </c>
    </row>
    <row r="34" spans="1:11">
      <c r="A34" s="10">
        <v>16</v>
      </c>
      <c r="B34" s="17" t="s">
        <v>261</v>
      </c>
      <c r="C34" s="10" t="s">
        <v>93</v>
      </c>
      <c r="D34" s="10" t="s">
        <v>121</v>
      </c>
      <c r="E34" s="14" t="s">
        <v>262</v>
      </c>
      <c r="F34" s="10" t="s">
        <v>263</v>
      </c>
      <c r="G34" s="10" t="s">
        <v>264</v>
      </c>
      <c r="H34" s="14">
        <v>1</v>
      </c>
      <c r="I34" s="17" t="s">
        <v>261</v>
      </c>
      <c r="J34" s="16" t="s">
        <v>122</v>
      </c>
      <c r="K34" s="10" t="s">
        <v>123</v>
      </c>
    </row>
    <row r="35" spans="1:11">
      <c r="A35" s="10">
        <v>17</v>
      </c>
      <c r="B35" s="17" t="s">
        <v>265</v>
      </c>
      <c r="C35" s="10" t="s">
        <v>82</v>
      </c>
      <c r="D35" s="10" t="s">
        <v>194</v>
      </c>
      <c r="E35" s="14" t="s">
        <v>266</v>
      </c>
      <c r="F35" s="10" t="s">
        <v>267</v>
      </c>
      <c r="G35" s="10" t="s">
        <v>268</v>
      </c>
      <c r="H35" s="14">
        <v>1</v>
      </c>
      <c r="I35" s="17" t="s">
        <v>265</v>
      </c>
      <c r="J35" s="16" t="s">
        <v>122</v>
      </c>
      <c r="K35" s="10" t="s">
        <v>123</v>
      </c>
    </row>
    <row r="36" spans="1:11">
      <c r="A36" s="10">
        <v>18</v>
      </c>
      <c r="B36" s="17" t="s">
        <v>269</v>
      </c>
      <c r="C36" s="10" t="s">
        <v>95</v>
      </c>
      <c r="D36" s="10" t="s">
        <v>121</v>
      </c>
      <c r="E36" s="14" t="s">
        <v>270</v>
      </c>
      <c r="F36" s="10" t="s">
        <v>234</v>
      </c>
      <c r="G36" s="10" t="s">
        <v>271</v>
      </c>
      <c r="H36" s="14">
        <v>1</v>
      </c>
      <c r="I36" s="17" t="s">
        <v>269</v>
      </c>
      <c r="J36" s="16" t="s">
        <v>122</v>
      </c>
      <c r="K36" s="10" t="s">
        <v>123</v>
      </c>
    </row>
    <row r="37" spans="1:11">
      <c r="A37" s="10">
        <v>19</v>
      </c>
      <c r="B37" s="17" t="s">
        <v>272</v>
      </c>
      <c r="C37" s="10" t="s">
        <v>91</v>
      </c>
      <c r="D37" s="10" t="s">
        <v>194</v>
      </c>
      <c r="E37" s="14" t="s">
        <v>273</v>
      </c>
      <c r="F37" s="10" t="s">
        <v>251</v>
      </c>
      <c r="G37" s="10" t="s">
        <v>252</v>
      </c>
      <c r="H37" s="14">
        <v>1</v>
      </c>
      <c r="I37" s="17" t="s">
        <v>272</v>
      </c>
      <c r="J37" s="16" t="s">
        <v>122</v>
      </c>
      <c r="K37" s="10" t="s">
        <v>123</v>
      </c>
    </row>
    <row r="38" spans="1:11">
      <c r="A38" s="10">
        <v>20</v>
      </c>
      <c r="B38" s="17" t="s">
        <v>274</v>
      </c>
      <c r="C38" s="10" t="s">
        <v>71</v>
      </c>
      <c r="D38" s="10" t="s">
        <v>121</v>
      </c>
      <c r="E38" s="14" t="s">
        <v>275</v>
      </c>
      <c r="F38" s="10" t="s">
        <v>276</v>
      </c>
      <c r="G38" s="10" t="s">
        <v>102</v>
      </c>
      <c r="H38" s="14">
        <v>1</v>
      </c>
      <c r="I38" s="17" t="s">
        <v>274</v>
      </c>
      <c r="J38" s="16" t="s">
        <v>122</v>
      </c>
      <c r="K38" s="10" t="s">
        <v>123</v>
      </c>
    </row>
    <row r="39" spans="1:11">
      <c r="A39" s="10">
        <v>21</v>
      </c>
      <c r="B39" s="17" t="s">
        <v>277</v>
      </c>
      <c r="C39" s="10" t="s">
        <v>198</v>
      </c>
      <c r="D39" s="10" t="s">
        <v>194</v>
      </c>
      <c r="E39" s="14" t="s">
        <v>242</v>
      </c>
      <c r="F39" s="10" t="s">
        <v>162</v>
      </c>
      <c r="G39" s="10" t="s">
        <v>243</v>
      </c>
      <c r="H39" s="14">
        <v>1</v>
      </c>
      <c r="I39" s="17" t="s">
        <v>277</v>
      </c>
      <c r="J39" s="16" t="s">
        <v>122</v>
      </c>
      <c r="K39" s="10" t="s">
        <v>123</v>
      </c>
    </row>
    <row r="40" spans="1:11">
      <c r="A40" s="10">
        <v>22</v>
      </c>
      <c r="B40" s="17" t="s">
        <v>278</v>
      </c>
      <c r="C40" s="10" t="s">
        <v>83</v>
      </c>
      <c r="D40" s="10" t="s">
        <v>121</v>
      </c>
      <c r="E40" s="14" t="s">
        <v>279</v>
      </c>
      <c r="F40" s="10" t="s">
        <v>248</v>
      </c>
      <c r="G40" s="10" t="s">
        <v>280</v>
      </c>
      <c r="H40" s="14">
        <v>1</v>
      </c>
      <c r="I40" s="17" t="s">
        <v>278</v>
      </c>
      <c r="J40" s="16" t="s">
        <v>122</v>
      </c>
      <c r="K40" s="10" t="s">
        <v>123</v>
      </c>
    </row>
    <row r="41" spans="1:11">
      <c r="A41" s="10">
        <v>23</v>
      </c>
      <c r="B41" s="17" t="s">
        <v>281</v>
      </c>
      <c r="C41" s="10" t="s">
        <v>76</v>
      </c>
      <c r="D41" s="10" t="s">
        <v>194</v>
      </c>
      <c r="E41" s="14" t="s">
        <v>282</v>
      </c>
      <c r="F41" s="10" t="s">
        <v>158</v>
      </c>
      <c r="G41" s="10" t="s">
        <v>283</v>
      </c>
      <c r="H41" s="14">
        <v>1</v>
      </c>
      <c r="I41" s="17" t="s">
        <v>281</v>
      </c>
      <c r="J41" s="16" t="s">
        <v>122</v>
      </c>
      <c r="K41" s="10" t="s">
        <v>123</v>
      </c>
    </row>
    <row r="42" spans="1:11">
      <c r="A42" s="10">
        <v>24</v>
      </c>
      <c r="B42" s="17" t="s">
        <v>284</v>
      </c>
      <c r="C42" s="10" t="s">
        <v>78</v>
      </c>
      <c r="D42" s="10" t="s">
        <v>121</v>
      </c>
      <c r="E42" s="14" t="s">
        <v>285</v>
      </c>
      <c r="F42" s="10" t="s">
        <v>286</v>
      </c>
      <c r="G42" s="10" t="s">
        <v>287</v>
      </c>
      <c r="H42" s="14">
        <v>1</v>
      </c>
      <c r="I42" s="17" t="s">
        <v>284</v>
      </c>
      <c r="J42" s="16" t="s">
        <v>122</v>
      </c>
      <c r="K42" s="10" t="s">
        <v>123</v>
      </c>
    </row>
    <row r="43" spans="1:11">
      <c r="A43" s="10"/>
      <c r="B43" s="17"/>
      <c r="C43" s="10"/>
      <c r="D43" s="10"/>
      <c r="E43" s="14"/>
      <c r="F43" s="10"/>
      <c r="G43" s="10"/>
      <c r="H43" s="14"/>
      <c r="I43" s="17"/>
      <c r="J43" s="16"/>
      <c r="K43" s="10"/>
    </row>
    <row r="59" spans="1:1">
      <c r="A59" s="18" t="str">
        <f>HYPERLINK("#'Dashboard &amp; Summary'!A1","Back DashBoard")</f>
        <v>Back DashBoard</v>
      </c>
    </row>
  </sheetData>
  <mergeCells count="4">
    <mergeCell ref="A1:K1"/>
    <mergeCell ref="A3:K3"/>
    <mergeCell ref="B2:K2"/>
    <mergeCell ref="A19:K19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 tint="0.39997558519241921"/>
  </sheetPr>
  <dimension ref="A1:AD23"/>
  <sheetViews>
    <sheetView showGridLines="0" zoomScaleNormal="100" workbookViewId="0">
      <selection activeCell="G22" sqref="G22"/>
    </sheetView>
  </sheetViews>
  <sheetFormatPr defaultColWidth="8.7109375" defaultRowHeight="15"/>
  <cols>
    <col min="1" max="1" width="15.85546875" style="4" bestFit="1" customWidth="1"/>
    <col min="2" max="2" width="12.5703125" style="4" bestFit="1" customWidth="1"/>
    <col min="3" max="3" width="19.28515625" style="4" customWidth="1"/>
    <col min="4" max="4" width="10" style="4" customWidth="1"/>
    <col min="5" max="5" width="10.5703125" style="4" customWidth="1"/>
    <col min="6" max="6" width="4.140625" style="4" bestFit="1" customWidth="1"/>
    <col min="7" max="7" width="9.42578125" style="4" bestFit="1" customWidth="1"/>
    <col min="8" max="8" width="7.140625" style="4" bestFit="1" customWidth="1"/>
    <col min="9" max="9" width="4.28515625" style="4" bestFit="1" customWidth="1"/>
    <col min="10" max="10" width="19.5703125" style="4" bestFit="1" customWidth="1"/>
    <col min="11" max="11" width="13.140625" style="4" bestFit="1" customWidth="1"/>
    <col min="12" max="12" width="11.28515625" style="4" bestFit="1" customWidth="1"/>
    <col min="13" max="13" width="6.42578125" style="4" bestFit="1" customWidth="1"/>
    <col min="14" max="14" width="5.28515625" style="4" customWidth="1"/>
    <col min="15" max="15" width="2.85546875" style="4" customWidth="1"/>
    <col min="16" max="16" width="20.5703125" style="4" bestFit="1" customWidth="1"/>
    <col min="17" max="17" width="20.42578125" style="4" customWidth="1"/>
    <col min="18" max="18" width="8.7109375" style="4"/>
    <col min="19" max="19" width="5.140625" style="4" customWidth="1"/>
    <col min="20" max="20" width="14.28515625" style="4" customWidth="1"/>
    <col min="21" max="21" width="13.140625" style="4" bestFit="1" customWidth="1"/>
    <col min="22" max="22" width="9.5703125" style="4" customWidth="1"/>
    <col min="23" max="23" width="5.28515625" style="4" bestFit="1" customWidth="1"/>
    <col min="24" max="24" width="7.7109375" style="4" bestFit="1" customWidth="1"/>
    <col min="25" max="25" width="8.42578125" style="4" bestFit="1" customWidth="1"/>
    <col min="26" max="26" width="9.7109375" style="4" customWidth="1"/>
    <col min="27" max="27" width="8.42578125" style="4" customWidth="1"/>
    <col min="28" max="28" width="13.7109375" style="4" customWidth="1"/>
    <col min="29" max="29" width="9.28515625" style="4" customWidth="1"/>
    <col min="30" max="30" width="8.85546875" style="4" customWidth="1"/>
    <col min="31" max="33" width="8.5703125" style="4" customWidth="1"/>
    <col min="34" max="16384" width="8.7109375" style="4"/>
  </cols>
  <sheetData>
    <row r="1" spans="1:30" ht="18" customHeight="1">
      <c r="A1" s="21" t="s">
        <v>125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P1"/>
      <c r="Q1"/>
      <c r="S1" s="21" t="s">
        <v>126</v>
      </c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</row>
    <row r="2" spans="1:30" ht="18" customHeight="1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P2"/>
      <c r="Q2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</row>
    <row r="3" spans="1:30" ht="18" customHeight="1">
      <c r="A3" s="23" t="s">
        <v>127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P3"/>
      <c r="Q3"/>
      <c r="S3" s="13" t="s">
        <v>37</v>
      </c>
      <c r="T3" s="13" t="s">
        <v>128</v>
      </c>
      <c r="U3" s="13" t="s">
        <v>129</v>
      </c>
      <c r="V3" s="13" t="s">
        <v>40</v>
      </c>
      <c r="W3" s="13" t="s">
        <v>41</v>
      </c>
      <c r="X3" s="13" t="s">
        <v>42</v>
      </c>
      <c r="Y3" s="13" t="s">
        <v>118</v>
      </c>
      <c r="Z3" s="13" t="s">
        <v>130</v>
      </c>
      <c r="AA3" s="13" t="s">
        <v>131</v>
      </c>
      <c r="AB3" s="13" t="s">
        <v>132</v>
      </c>
      <c r="AC3" s="13" t="s">
        <v>45</v>
      </c>
      <c r="AD3" s="13" t="s">
        <v>120</v>
      </c>
    </row>
    <row r="4" spans="1:30" ht="18" customHeight="1">
      <c r="A4" s="13" t="s">
        <v>133</v>
      </c>
      <c r="B4" s="13" t="s">
        <v>134</v>
      </c>
      <c r="C4" s="13" t="s">
        <v>40</v>
      </c>
      <c r="D4" s="13" t="s">
        <v>41</v>
      </c>
      <c r="E4" s="13" t="s">
        <v>42</v>
      </c>
      <c r="F4" s="13" t="s">
        <v>118</v>
      </c>
      <c r="G4" s="13" t="s">
        <v>135</v>
      </c>
      <c r="H4" s="13" t="s">
        <v>136</v>
      </c>
      <c r="I4" s="13" t="s">
        <v>204</v>
      </c>
      <c r="J4" s="13" t="s">
        <v>170</v>
      </c>
      <c r="K4" s="13" t="s">
        <v>138</v>
      </c>
      <c r="L4" s="13" t="s">
        <v>139</v>
      </c>
      <c r="M4" s="13" t="s">
        <v>45</v>
      </c>
      <c r="P4"/>
      <c r="Q4"/>
      <c r="S4" s="14">
        <v>1</v>
      </c>
      <c r="T4" s="14" t="s">
        <v>140</v>
      </c>
      <c r="U4" s="14" t="s">
        <v>141</v>
      </c>
      <c r="V4" s="5"/>
      <c r="W4" s="14"/>
      <c r="X4" s="5"/>
      <c r="Y4" s="14"/>
      <c r="Z4" s="14"/>
      <c r="AA4" s="14"/>
      <c r="AB4" s="14"/>
      <c r="AC4" s="14"/>
      <c r="AD4" s="14"/>
    </row>
    <row r="5" spans="1:30" ht="18" customHeight="1">
      <c r="A5" s="5"/>
      <c r="B5" s="5"/>
      <c r="C5" s="27" t="s">
        <v>184</v>
      </c>
      <c r="D5" s="28"/>
      <c r="E5" s="28"/>
      <c r="F5" s="28"/>
      <c r="G5" s="28"/>
      <c r="H5" s="28"/>
      <c r="I5" s="28"/>
      <c r="J5" s="29"/>
      <c r="K5" s="5"/>
      <c r="L5" s="5"/>
      <c r="M5" s="5"/>
      <c r="P5"/>
      <c r="Q5"/>
      <c r="S5" s="14"/>
      <c r="T5" s="14"/>
      <c r="U5" s="14"/>
      <c r="V5" s="5"/>
      <c r="W5" s="14"/>
      <c r="X5" s="5"/>
      <c r="Y5" s="14"/>
      <c r="Z5" s="14"/>
      <c r="AA5" s="14"/>
      <c r="AB5" s="14"/>
      <c r="AC5" s="14"/>
      <c r="AD5" s="14"/>
    </row>
    <row r="6" spans="1:30" ht="19.5" customHeight="1">
      <c r="A6" s="10">
        <f>IF(B6="","",ROWS($A$6:A6))</f>
        <v>1</v>
      </c>
      <c r="B6" s="10" t="s">
        <v>145</v>
      </c>
      <c r="C6" s="10" t="s">
        <v>146</v>
      </c>
      <c r="D6" s="10" t="s">
        <v>147</v>
      </c>
      <c r="E6" s="10" t="s">
        <v>62</v>
      </c>
      <c r="F6" s="10">
        <v>1</v>
      </c>
      <c r="G6" s="10" t="s">
        <v>148</v>
      </c>
      <c r="H6" s="10" t="s">
        <v>148</v>
      </c>
      <c r="I6" s="10"/>
      <c r="J6" s="10" t="s">
        <v>168</v>
      </c>
      <c r="K6" s="10" t="s">
        <v>148</v>
      </c>
      <c r="L6" s="10" t="s">
        <v>148</v>
      </c>
      <c r="M6" s="10" t="s">
        <v>144</v>
      </c>
      <c r="P6"/>
      <c r="Q6"/>
      <c r="S6" s="10">
        <v>2</v>
      </c>
      <c r="T6" s="10" t="s">
        <v>149</v>
      </c>
      <c r="U6" s="10" t="s">
        <v>150</v>
      </c>
      <c r="V6" s="5"/>
      <c r="W6" s="5"/>
      <c r="X6" s="5"/>
      <c r="Y6" s="10">
        <v>30</v>
      </c>
      <c r="Z6" s="10" t="s">
        <v>142</v>
      </c>
      <c r="AA6" s="10" t="s">
        <v>143</v>
      </c>
      <c r="AB6" s="10" t="s">
        <v>124</v>
      </c>
      <c r="AC6" s="10" t="s">
        <v>32</v>
      </c>
      <c r="AD6" s="10" t="s">
        <v>151</v>
      </c>
    </row>
    <row r="7" spans="1:30" ht="19.5" customHeight="1">
      <c r="A7" s="14">
        <f>IF(B7="","",ROWS($A$6:A7))</f>
        <v>2</v>
      </c>
      <c r="B7" s="14" t="s">
        <v>152</v>
      </c>
      <c r="C7" s="14" t="s">
        <v>146</v>
      </c>
      <c r="D7" s="14" t="s">
        <v>147</v>
      </c>
      <c r="E7" s="14" t="s">
        <v>62</v>
      </c>
      <c r="F7" s="14">
        <v>1</v>
      </c>
      <c r="G7" s="14" t="s">
        <v>148</v>
      </c>
      <c r="H7" s="14" t="s">
        <v>148</v>
      </c>
      <c r="I7" s="14"/>
      <c r="J7" s="14"/>
      <c r="K7" s="10" t="s">
        <v>148</v>
      </c>
      <c r="L7" s="14" t="s">
        <v>148</v>
      </c>
      <c r="M7" s="14" t="s">
        <v>144</v>
      </c>
      <c r="P7"/>
      <c r="Q7"/>
      <c r="S7" s="14">
        <v>3</v>
      </c>
      <c r="T7" s="14" t="s">
        <v>135</v>
      </c>
      <c r="U7" s="14" t="s">
        <v>141</v>
      </c>
      <c r="V7" s="5"/>
      <c r="W7" s="5"/>
      <c r="X7" s="5"/>
      <c r="Y7" s="14">
        <v>2</v>
      </c>
      <c r="Z7" s="14" t="s">
        <v>142</v>
      </c>
      <c r="AA7" s="14" t="s">
        <v>143</v>
      </c>
      <c r="AB7" s="14" t="s">
        <v>124</v>
      </c>
      <c r="AC7" s="14" t="s">
        <v>32</v>
      </c>
      <c r="AD7" s="14" t="s">
        <v>153</v>
      </c>
    </row>
    <row r="8" spans="1:30" ht="19.5" customHeight="1">
      <c r="A8" s="10">
        <f>IF(B8="","",ROWS($A$6:A8))</f>
        <v>3</v>
      </c>
      <c r="B8" s="10" t="s">
        <v>154</v>
      </c>
      <c r="C8" s="10" t="s">
        <v>146</v>
      </c>
      <c r="D8" s="10" t="s">
        <v>147</v>
      </c>
      <c r="E8" s="10" t="s">
        <v>62</v>
      </c>
      <c r="F8" s="10">
        <v>1</v>
      </c>
      <c r="G8" s="10" t="s">
        <v>148</v>
      </c>
      <c r="H8" s="10" t="s">
        <v>155</v>
      </c>
      <c r="I8" s="10"/>
      <c r="J8" s="10"/>
      <c r="K8" s="10" t="s">
        <v>148</v>
      </c>
      <c r="L8" s="10" t="s">
        <v>148</v>
      </c>
      <c r="M8" s="10" t="s">
        <v>144</v>
      </c>
      <c r="P8"/>
      <c r="Q8"/>
      <c r="S8" s="10">
        <v>4</v>
      </c>
      <c r="T8" s="10" t="s">
        <v>136</v>
      </c>
      <c r="U8" s="10" t="s">
        <v>156</v>
      </c>
      <c r="V8" s="5"/>
      <c r="W8" s="5"/>
      <c r="X8" s="5"/>
      <c r="Y8" s="10">
        <v>0</v>
      </c>
      <c r="Z8" s="10" t="s">
        <v>142</v>
      </c>
      <c r="AA8" s="10" t="s">
        <v>143</v>
      </c>
      <c r="AB8" s="10" t="s">
        <v>124</v>
      </c>
      <c r="AC8" s="10" t="s">
        <v>32</v>
      </c>
      <c r="AD8" s="10" t="s">
        <v>153</v>
      </c>
    </row>
    <row r="9" spans="1:30" ht="19.5" customHeight="1">
      <c r="A9" s="14">
        <f>IF(B9="","",ROWS($A$6:A9))</f>
        <v>4</v>
      </c>
      <c r="B9" s="14" t="s">
        <v>157</v>
      </c>
      <c r="C9" s="14" t="s">
        <v>146</v>
      </c>
      <c r="D9" s="14" t="s">
        <v>147</v>
      </c>
      <c r="E9" s="14" t="s">
        <v>62</v>
      </c>
      <c r="F9" s="14">
        <v>1</v>
      </c>
      <c r="G9" s="14" t="s">
        <v>148</v>
      </c>
      <c r="H9" s="14" t="s">
        <v>155</v>
      </c>
      <c r="I9" s="14"/>
      <c r="J9" s="14"/>
      <c r="K9" s="10" t="s">
        <v>148</v>
      </c>
      <c r="L9" s="14" t="s">
        <v>155</v>
      </c>
      <c r="M9" s="14" t="s">
        <v>144</v>
      </c>
      <c r="P9"/>
      <c r="Q9"/>
      <c r="S9" s="14">
        <v>5</v>
      </c>
      <c r="T9" s="14" t="s">
        <v>158</v>
      </c>
      <c r="U9" s="14" t="s">
        <v>159</v>
      </c>
      <c r="V9" s="5"/>
      <c r="W9" s="5"/>
      <c r="X9" s="5"/>
      <c r="Y9" s="14">
        <v>4</v>
      </c>
      <c r="Z9" s="14" t="s">
        <v>142</v>
      </c>
      <c r="AA9" s="14" t="s">
        <v>143</v>
      </c>
      <c r="AB9" s="14" t="s">
        <v>124</v>
      </c>
      <c r="AC9" s="14" t="s">
        <v>32</v>
      </c>
      <c r="AD9" s="14" t="s">
        <v>160</v>
      </c>
    </row>
    <row r="10" spans="1:30" ht="19.5" customHeight="1">
      <c r="A10" s="10">
        <f>IF(B10="","",ROWS($A$6:A10))</f>
        <v>5</v>
      </c>
      <c r="B10" s="10" t="s">
        <v>161</v>
      </c>
      <c r="C10" s="10" t="s">
        <v>146</v>
      </c>
      <c r="D10" s="10" t="s">
        <v>147</v>
      </c>
      <c r="E10" s="10" t="s">
        <v>62</v>
      </c>
      <c r="F10" s="10">
        <v>1</v>
      </c>
      <c r="G10" s="10" t="s">
        <v>148</v>
      </c>
      <c r="H10" s="10" t="s">
        <v>155</v>
      </c>
      <c r="I10" s="10"/>
      <c r="J10" s="10"/>
      <c r="K10" s="10" t="s">
        <v>148</v>
      </c>
      <c r="L10" s="10" t="s">
        <v>155</v>
      </c>
      <c r="M10" s="10" t="s">
        <v>144</v>
      </c>
      <c r="S10" s="10">
        <v>6</v>
      </c>
      <c r="T10" s="10" t="s">
        <v>162</v>
      </c>
      <c r="U10" s="10" t="s">
        <v>159</v>
      </c>
      <c r="V10" s="5"/>
      <c r="W10" s="5"/>
      <c r="X10" s="5"/>
      <c r="Y10" s="10">
        <v>3</v>
      </c>
      <c r="Z10" s="10" t="s">
        <v>142</v>
      </c>
      <c r="AA10" s="10" t="s">
        <v>143</v>
      </c>
      <c r="AB10" s="10" t="s">
        <v>124</v>
      </c>
      <c r="AC10" s="10" t="s">
        <v>32</v>
      </c>
      <c r="AD10" s="10" t="s">
        <v>80</v>
      </c>
    </row>
    <row r="11" spans="1:30" ht="19.5" customHeight="1">
      <c r="A11" s="14">
        <f>IF(B11="","",ROWS($A$6:A11))</f>
        <v>6</v>
      </c>
      <c r="B11" s="14" t="s">
        <v>163</v>
      </c>
      <c r="C11" s="14" t="s">
        <v>146</v>
      </c>
      <c r="D11" s="14" t="s">
        <v>147</v>
      </c>
      <c r="E11" s="14" t="s">
        <v>62</v>
      </c>
      <c r="F11" s="14">
        <v>1</v>
      </c>
      <c r="G11" s="14" t="s">
        <v>148</v>
      </c>
      <c r="H11" s="14" t="s">
        <v>155</v>
      </c>
      <c r="I11" s="14"/>
      <c r="J11" s="14"/>
      <c r="K11" s="10" t="s">
        <v>148</v>
      </c>
      <c r="L11" s="14" t="s">
        <v>155</v>
      </c>
      <c r="M11" s="14" t="s">
        <v>144</v>
      </c>
      <c r="S11" s="14">
        <v>7</v>
      </c>
      <c r="T11" s="14" t="s">
        <v>164</v>
      </c>
      <c r="U11" s="14" t="s">
        <v>165</v>
      </c>
      <c r="V11" s="5"/>
      <c r="W11" s="5"/>
      <c r="X11" s="5"/>
      <c r="Y11" s="14">
        <v>0</v>
      </c>
      <c r="Z11" s="14" t="s">
        <v>142</v>
      </c>
      <c r="AA11" s="14" t="s">
        <v>143</v>
      </c>
      <c r="AB11" s="14" t="s">
        <v>124</v>
      </c>
      <c r="AC11" s="14" t="s">
        <v>166</v>
      </c>
      <c r="AD11" s="14" t="s">
        <v>167</v>
      </c>
    </row>
    <row r="12" spans="1:30" ht="15.75" customHeight="1">
      <c r="A12" s="10" t="str">
        <f>IF(B12="","",ROWS($A$6:A12))</f>
        <v/>
      </c>
      <c r="B12" s="5"/>
      <c r="C12" s="31">
        <v>46030</v>
      </c>
      <c r="D12" s="28"/>
      <c r="E12" s="28"/>
      <c r="F12" s="28"/>
      <c r="G12" s="28"/>
      <c r="H12" s="28"/>
      <c r="I12" s="28"/>
      <c r="J12" s="29"/>
      <c r="K12" s="5"/>
      <c r="L12" s="5"/>
      <c r="M12" s="5"/>
    </row>
    <row r="13" spans="1:30" ht="15" customHeight="1">
      <c r="A13" s="14">
        <f>IF(B13="","",ROWS($A$6:A13))</f>
        <v>8</v>
      </c>
      <c r="B13" s="5" t="s">
        <v>186</v>
      </c>
      <c r="C13" s="5"/>
      <c r="D13" s="5"/>
      <c r="E13" s="5"/>
      <c r="F13" s="5">
        <v>4</v>
      </c>
      <c r="G13" s="5"/>
      <c r="H13" s="5"/>
      <c r="I13" s="5"/>
      <c r="J13" s="5"/>
      <c r="K13" s="14" t="s">
        <v>148</v>
      </c>
      <c r="L13" s="14" t="s">
        <v>148</v>
      </c>
      <c r="M13" s="14" t="s">
        <v>144</v>
      </c>
    </row>
    <row r="14" spans="1:30" ht="15" customHeight="1">
      <c r="A14" s="10">
        <f>IF(B14="","",ROWS($A$6:A14))</f>
        <v>9</v>
      </c>
      <c r="B14" s="5" t="s">
        <v>185</v>
      </c>
      <c r="C14" s="5"/>
      <c r="D14" s="5"/>
      <c r="E14" s="5"/>
      <c r="F14" s="5">
        <v>5</v>
      </c>
      <c r="G14" s="5"/>
      <c r="H14" s="5"/>
      <c r="I14" s="5"/>
      <c r="J14" s="5"/>
      <c r="K14" s="14" t="s">
        <v>148</v>
      </c>
      <c r="L14" s="14" t="s">
        <v>148</v>
      </c>
      <c r="M14" s="14" t="s">
        <v>144</v>
      </c>
      <c r="U14" s="30" t="s">
        <v>15</v>
      </c>
      <c r="V14" s="30"/>
      <c r="W14" s="30"/>
      <c r="X14" s="30"/>
      <c r="Y14" s="30"/>
      <c r="Z14" s="30"/>
      <c r="AA14" s="30"/>
    </row>
    <row r="15" spans="1:30" ht="15" customHeight="1">
      <c r="A15" s="10" t="str">
        <f>IF(B15="","",ROWS($A$6:A15))</f>
        <v/>
      </c>
      <c r="B15" s="5"/>
      <c r="C15" s="31" t="s">
        <v>201</v>
      </c>
      <c r="D15" s="28"/>
      <c r="E15" s="28"/>
      <c r="F15" s="28"/>
      <c r="G15" s="28"/>
      <c r="H15" s="28"/>
      <c r="I15" s="28"/>
      <c r="J15" s="29"/>
      <c r="K15" s="5"/>
      <c r="L15" s="5"/>
      <c r="M15" s="5"/>
      <c r="U15" s="30"/>
      <c r="V15" s="30"/>
      <c r="W15" s="30"/>
      <c r="X15" s="30"/>
      <c r="Y15" s="30"/>
      <c r="Z15" s="30"/>
      <c r="AA15" s="30"/>
    </row>
    <row r="16" spans="1:30" ht="19.5" customHeight="1">
      <c r="A16" s="10">
        <f>IF(B16="","",ROWS($A$6:A16))</f>
        <v>11</v>
      </c>
      <c r="B16" s="14" t="s">
        <v>145</v>
      </c>
      <c r="C16" s="14" t="s">
        <v>146</v>
      </c>
      <c r="D16" s="14" t="s">
        <v>202</v>
      </c>
      <c r="E16" s="14" t="s">
        <v>62</v>
      </c>
      <c r="F16" s="14">
        <v>1</v>
      </c>
      <c r="G16" s="14" t="s">
        <v>148</v>
      </c>
      <c r="H16" s="14" t="s">
        <v>148</v>
      </c>
      <c r="I16" s="14" t="s">
        <v>148</v>
      </c>
      <c r="J16" s="5"/>
      <c r="K16" s="14" t="s">
        <v>148</v>
      </c>
      <c r="L16" s="14" t="s">
        <v>148</v>
      </c>
      <c r="M16" s="14" t="s">
        <v>144</v>
      </c>
      <c r="U16" s="13" t="s">
        <v>128</v>
      </c>
      <c r="V16" s="13" t="s">
        <v>40</v>
      </c>
      <c r="W16" s="13" t="s">
        <v>41</v>
      </c>
      <c r="X16" s="13" t="s">
        <v>42</v>
      </c>
      <c r="Y16" s="13" t="s">
        <v>131</v>
      </c>
      <c r="Z16" s="13" t="s">
        <v>45</v>
      </c>
      <c r="AA16" s="13" t="s">
        <v>118</v>
      </c>
    </row>
    <row r="17" spans="1:27" ht="19.5" customHeight="1">
      <c r="A17" s="14">
        <f>IF(B17="","",ROWS($A$6:A17))</f>
        <v>12</v>
      </c>
      <c r="B17" s="14" t="s">
        <v>152</v>
      </c>
      <c r="C17" s="14" t="s">
        <v>146</v>
      </c>
      <c r="D17" s="14" t="s">
        <v>202</v>
      </c>
      <c r="E17" s="14" t="s">
        <v>62</v>
      </c>
      <c r="F17" s="14">
        <v>1</v>
      </c>
      <c r="G17" s="14" t="s">
        <v>148</v>
      </c>
      <c r="H17" s="14" t="s">
        <v>148</v>
      </c>
      <c r="I17" s="14" t="s">
        <v>148</v>
      </c>
      <c r="J17" s="5"/>
      <c r="K17" s="14" t="s">
        <v>148</v>
      </c>
      <c r="L17" s="14" t="s">
        <v>148</v>
      </c>
      <c r="M17" s="14" t="s">
        <v>144</v>
      </c>
      <c r="U17" s="5" t="s">
        <v>172</v>
      </c>
      <c r="V17" s="5"/>
      <c r="W17" s="5"/>
      <c r="X17" s="5" t="s">
        <v>173</v>
      </c>
      <c r="Y17" s="5" t="s">
        <v>143</v>
      </c>
      <c r="Z17" s="5" t="s">
        <v>174</v>
      </c>
      <c r="AA17" s="5">
        <v>1</v>
      </c>
    </row>
    <row r="18" spans="1:27" ht="19.5" customHeight="1">
      <c r="A18" s="10">
        <f>IF(B18="","",ROWS($A$6:A18))</f>
        <v>13</v>
      </c>
      <c r="B18" s="14" t="s">
        <v>154</v>
      </c>
      <c r="C18" s="14" t="s">
        <v>146</v>
      </c>
      <c r="D18" s="14" t="s">
        <v>202</v>
      </c>
      <c r="E18" s="14" t="s">
        <v>62</v>
      </c>
      <c r="F18" s="14">
        <v>1</v>
      </c>
      <c r="G18" s="14" t="s">
        <v>148</v>
      </c>
      <c r="H18" s="14" t="s">
        <v>148</v>
      </c>
      <c r="I18" s="14" t="s">
        <v>148</v>
      </c>
      <c r="J18" s="5"/>
      <c r="K18" s="14" t="s">
        <v>148</v>
      </c>
      <c r="L18" s="14" t="s">
        <v>148</v>
      </c>
      <c r="M18" s="14" t="s">
        <v>144</v>
      </c>
      <c r="U18" s="5" t="s">
        <v>175</v>
      </c>
      <c r="V18" s="5"/>
      <c r="W18" s="5"/>
      <c r="X18" s="5">
        <v>3302</v>
      </c>
      <c r="Y18" s="5" t="s">
        <v>143</v>
      </c>
      <c r="Z18" s="5" t="s">
        <v>174</v>
      </c>
      <c r="AA18" s="5">
        <v>5</v>
      </c>
    </row>
    <row r="19" spans="1:27" ht="19.5" customHeight="1">
      <c r="A19" s="10">
        <f>IF(B19="","",ROWS($A$6:A19))</f>
        <v>14</v>
      </c>
      <c r="B19" s="14" t="s">
        <v>157</v>
      </c>
      <c r="C19" s="14" t="s">
        <v>146</v>
      </c>
      <c r="D19" s="14" t="s">
        <v>202</v>
      </c>
      <c r="E19" s="14" t="s">
        <v>62</v>
      </c>
      <c r="F19" s="14">
        <v>1</v>
      </c>
      <c r="G19" s="14" t="s">
        <v>148</v>
      </c>
      <c r="H19" s="14" t="s">
        <v>148</v>
      </c>
      <c r="I19" s="14" t="s">
        <v>148</v>
      </c>
      <c r="J19" s="5"/>
      <c r="K19" s="14" t="s">
        <v>148</v>
      </c>
      <c r="L19" s="14" t="s">
        <v>148</v>
      </c>
      <c r="M19" s="14" t="s">
        <v>144</v>
      </c>
      <c r="U19" s="5" t="s">
        <v>138</v>
      </c>
      <c r="V19" s="5"/>
      <c r="W19" s="5"/>
      <c r="X19" s="5" t="s">
        <v>177</v>
      </c>
      <c r="Y19" s="5" t="s">
        <v>143</v>
      </c>
      <c r="Z19" s="5" t="s">
        <v>174</v>
      </c>
      <c r="AA19" s="5">
        <v>7</v>
      </c>
    </row>
    <row r="20" spans="1:27" ht="19.5" customHeight="1">
      <c r="U20" s="5" t="s">
        <v>176</v>
      </c>
      <c r="V20" s="5"/>
      <c r="W20" s="5"/>
      <c r="X20" s="5" t="s">
        <v>177</v>
      </c>
      <c r="Y20" s="5" t="s">
        <v>143</v>
      </c>
      <c r="Z20" s="5" t="s">
        <v>174</v>
      </c>
      <c r="AA20" s="5">
        <v>4</v>
      </c>
    </row>
    <row r="21" spans="1:27" ht="19.5" customHeight="1">
      <c r="U21" s="5" t="s">
        <v>183</v>
      </c>
      <c r="V21" s="5"/>
      <c r="W21" s="5"/>
      <c r="X21" s="5" t="s">
        <v>177</v>
      </c>
      <c r="Y21" s="5" t="s">
        <v>143</v>
      </c>
      <c r="Z21" s="5" t="s">
        <v>174</v>
      </c>
      <c r="AA21" s="5">
        <v>2</v>
      </c>
    </row>
    <row r="22" spans="1:27">
      <c r="U22" s="5" t="s">
        <v>136</v>
      </c>
      <c r="V22" s="5"/>
      <c r="W22" s="5"/>
      <c r="X22" s="5" t="s">
        <v>177</v>
      </c>
      <c r="Y22" s="5" t="s">
        <v>143</v>
      </c>
      <c r="Z22" s="5" t="s">
        <v>174</v>
      </c>
      <c r="AA22" s="5">
        <v>10</v>
      </c>
    </row>
    <row r="23" spans="1:27">
      <c r="A23" s="7" t="str">
        <f>HYPERLINK("#'Dashboard &amp; Summary'!A1","Back DashBoard")</f>
        <v>Back DashBoard</v>
      </c>
    </row>
  </sheetData>
  <mergeCells count="8">
    <mergeCell ref="U14:AA15"/>
    <mergeCell ref="A1:M1"/>
    <mergeCell ref="S1:AD1"/>
    <mergeCell ref="A2:M2"/>
    <mergeCell ref="A3:M3"/>
    <mergeCell ref="C12:J12"/>
    <mergeCell ref="C5:J5"/>
    <mergeCell ref="C15:J1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 &amp; Summary</vt:lpstr>
      <vt:lpstr>Lab 1, 2, 3 Inventory</vt:lpstr>
      <vt:lpstr>Staff Configuration</vt:lpstr>
      <vt:lpstr>Monthly Fault Sheet</vt:lpstr>
      <vt:lpstr>New Purchases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Shakeel-Ahmed</cp:lastModifiedBy>
  <cp:revision>0</cp:revision>
  <dcterms:created xsi:type="dcterms:W3CDTF">2026-07-21T12:00:04Z</dcterms:created>
  <dcterms:modified xsi:type="dcterms:W3CDTF">2026-09-30T20:34:17Z</dcterms:modified>
  <dc:language>en-US</dc:language>
</cp:coreProperties>
</file>